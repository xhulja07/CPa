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4\"/>
    </mc:Choice>
  </mc:AlternateContent>
  <xr:revisionPtr revIDLastSave="0" documentId="13_ncr:1_{3E54BB1F-8039-42AF-8D20-D67492F17143}" xr6:coauthVersionLast="47" xr6:coauthVersionMax="47" xr10:uidLastSave="{00000000-0000-0000-0000-000000000000}"/>
  <bookViews>
    <workbookView xWindow="-120" yWindow="16080" windowWidth="29040" windowHeight="7965" xr2:uid="{00000000-000D-0000-FFFF-FFFF00000000}"/>
  </bookViews>
  <sheets>
    <sheet name="cc-cpa+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1" l="1"/>
  <c r="I49" i="1"/>
  <c r="I48" i="1"/>
  <c r="I47" i="1"/>
  <c r="I45" i="1"/>
  <c r="I44" i="1"/>
  <c r="I43" i="1"/>
  <c r="I42" i="1"/>
  <c r="G50" i="1"/>
  <c r="G49" i="1"/>
  <c r="G48" i="1"/>
  <c r="G47" i="1"/>
  <c r="G45" i="1"/>
  <c r="G44" i="1"/>
  <c r="G43" i="1"/>
  <c r="G42" i="1"/>
  <c r="E50" i="1"/>
  <c r="E49" i="1"/>
  <c r="E48" i="1"/>
  <c r="E47" i="1"/>
  <c r="E45" i="1"/>
  <c r="E44" i="1"/>
  <c r="E43" i="1"/>
  <c r="E42" i="1"/>
  <c r="I26" i="1" l="1"/>
  <c r="G26" i="1"/>
  <c r="E28" i="1"/>
  <c r="E34" i="1"/>
  <c r="G34" i="1"/>
  <c r="G31" i="1"/>
  <c r="I31" i="1"/>
  <c r="I34" i="1"/>
  <c r="I33" i="1"/>
  <c r="I32" i="1"/>
  <c r="G33" i="1"/>
  <c r="G32" i="1"/>
  <c r="E33" i="1"/>
  <c r="E32" i="1"/>
  <c r="E31" i="1"/>
  <c r="I28" i="1"/>
  <c r="I27" i="1"/>
  <c r="I25" i="1"/>
  <c r="G28" i="1"/>
  <c r="G27" i="1"/>
  <c r="G25" i="1"/>
  <c r="E27" i="1"/>
  <c r="E26" i="1"/>
  <c r="E25" i="1"/>
  <c r="I17" i="1"/>
  <c r="I16" i="1"/>
  <c r="I15" i="1"/>
  <c r="I14" i="1"/>
  <c r="G17" i="1"/>
  <c r="G16" i="1"/>
  <c r="G15" i="1"/>
  <c r="G14" i="1"/>
  <c r="E17" i="1"/>
  <c r="E16" i="1"/>
  <c r="E15" i="1"/>
  <c r="E14" i="1"/>
  <c r="I11" i="1"/>
  <c r="I10" i="1"/>
  <c r="I9" i="1"/>
  <c r="I8" i="1"/>
  <c r="G11" i="1"/>
  <c r="G10" i="1"/>
  <c r="G9" i="1"/>
  <c r="G8" i="1"/>
  <c r="E11" i="1"/>
  <c r="E10" i="1"/>
  <c r="E9" i="1"/>
  <c r="E8" i="1"/>
</calcChain>
</file>

<file path=xl/sharedStrings.xml><?xml version="1.0" encoding="utf-8"?>
<sst xmlns="http://schemas.openxmlformats.org/spreadsheetml/2006/main" count="100" uniqueCount="25">
  <si>
    <t>Experiment 5</t>
  </si>
  <si>
    <t>Note that in this experiment, the predictions are distributed into classes C1-C4 (constructing C1-C4 is one experiment), therefore, the outcomes are not directly comparable to the outcomes in the previous experiments, which are independent runs (in the previous experiments, Ex1-EX4, each α is an independent experiment).</t>
  </si>
  <si>
    <t>CodeBERT4JIT</t>
  </si>
  <si>
    <t>Confidence class</t>
  </si>
  <si>
    <t>% instances inside class</t>
  </si>
  <si>
    <t>Precision</t>
  </si>
  <si>
    <t>Recall</t>
  </si>
  <si>
    <t> </t>
  </si>
  <si>
    <t>Total</t>
  </si>
  <si>
    <t>Clean</t>
  </si>
  <si>
    <t>Fault-prone</t>
  </si>
  <si>
    <t>Openstack</t>
  </si>
  <si>
    <t>C1</t>
  </si>
  <si>
    <t> 95% confidence</t>
  </si>
  <si>
    <t>C2</t>
  </si>
  <si>
    <t>C3</t>
  </si>
  <si>
    <t>C4</t>
  </si>
  <si>
    <t>&lt;85%</t>
  </si>
  <si>
    <t>QT</t>
  </si>
  <si>
    <t>DeepJIT</t>
  </si>
  <si>
    <t>/</t>
  </si>
  <si>
    <t>Lapredict</t>
  </si>
  <si>
    <t>#tot</t>
  </si>
  <si>
    <t>#clean</t>
  </si>
  <si>
    <t>#fault-prone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</si>
</sst>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4"/>
      <name val="Arial"/>
    </font>
    <font>
      <sz val="11"/>
      <name val="Arial"/>
    </font>
    <font>
      <b/>
      <sz val="11"/>
      <name val="Calibri"/>
    </font>
    <font>
      <b/>
      <sz val="11"/>
      <name val="Arial"/>
    </font>
    <font>
      <sz val="11"/>
      <name val="Calibri"/>
    </font>
    <font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</font>
    <font>
      <b/>
      <sz val="11"/>
      <color theme="1" tint="0.49998474074526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AF2D0"/>
        <bgColor rgb="FFDAF2D0"/>
      </patternFill>
    </fill>
    <fill>
      <patternFill patternType="solid">
        <fgColor rgb="FFDAE9F8"/>
        <bgColor rgb="FFDAE9F8"/>
      </patternFill>
    </fill>
  </fills>
  <borders count="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/>
    </xf>
    <xf numFmtId="0" fontId="3" fillId="0" borderId="4" xfId="0" applyFont="1" applyBorder="1" applyAlignment="1">
      <alignment horizontal="center" vertical="top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9" fontId="5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center" vertical="top"/>
    </xf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/>
    <xf numFmtId="0" fontId="8" fillId="0" borderId="3" xfId="0" applyFont="1" applyBorder="1" applyAlignment="1">
      <alignment horizontal="center" vertical="top"/>
    </xf>
    <xf numFmtId="1" fontId="6" fillId="0" borderId="0" xfId="0" applyNumberFormat="1" applyFont="1" applyAlignment="1">
      <alignment horizontal="left"/>
    </xf>
    <xf numFmtId="1" fontId="6" fillId="0" borderId="0" xfId="0" applyNumberFormat="1" applyFont="1"/>
    <xf numFmtId="1" fontId="0" fillId="0" borderId="0" xfId="0" applyNumberFormat="1"/>
    <xf numFmtId="1" fontId="0" fillId="0" borderId="0" xfId="0" applyNumberFormat="1" applyAlignment="1">
      <alignment horizontal="left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2" borderId="5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3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1"/>
  <sheetViews>
    <sheetView tabSelected="1" topLeftCell="A7" workbookViewId="0">
      <selection activeCell="P16" sqref="P16"/>
    </sheetView>
  </sheetViews>
  <sheetFormatPr defaultRowHeight="14.4" x14ac:dyDescent="0.3"/>
  <cols>
    <col min="5" max="5" width="8.88671875" style="13"/>
    <col min="7" max="7" width="8.88671875" style="13"/>
    <col min="9" max="9" width="8.88671875" style="13"/>
  </cols>
  <sheetData>
    <row r="1" spans="1:16" ht="17.399999999999999" x14ac:dyDescent="0.3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1"/>
    </row>
    <row r="2" spans="1:16" x14ac:dyDescent="0.3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</row>
    <row r="3" spans="1:16" x14ac:dyDescent="0.3">
      <c r="A3" s="1"/>
      <c r="B3" s="1"/>
      <c r="C3" s="1"/>
      <c r="D3" s="1"/>
      <c r="E3" s="9"/>
      <c r="F3" s="23" t="s">
        <v>2</v>
      </c>
      <c r="G3" s="23"/>
      <c r="H3" s="23"/>
      <c r="I3" s="23"/>
      <c r="J3" s="23"/>
      <c r="K3" s="23"/>
      <c r="L3" s="1"/>
      <c r="M3" s="1"/>
      <c r="N3" s="1"/>
      <c r="O3" s="1"/>
      <c r="P3" s="1"/>
    </row>
    <row r="4" spans="1:16" x14ac:dyDescent="0.3">
      <c r="A4" s="1"/>
      <c r="B4" s="1"/>
      <c r="C4" s="1"/>
      <c r="D4" s="1"/>
      <c r="E4" s="9"/>
      <c r="F4" s="1"/>
      <c r="G4" s="9"/>
      <c r="H4" s="1"/>
      <c r="I4" s="9"/>
      <c r="J4" s="1"/>
      <c r="K4" s="1"/>
      <c r="L4" s="1"/>
      <c r="M4" s="1"/>
      <c r="N4" s="1"/>
      <c r="O4" s="1"/>
      <c r="P4" s="1"/>
    </row>
    <row r="5" spans="1:16" x14ac:dyDescent="0.3">
      <c r="A5" s="1"/>
      <c r="B5" s="19" t="s">
        <v>3</v>
      </c>
      <c r="C5" s="20"/>
      <c r="D5" s="24" t="s">
        <v>4</v>
      </c>
      <c r="E5" s="24"/>
      <c r="F5" s="24"/>
      <c r="G5" s="24"/>
      <c r="H5" s="20"/>
      <c r="I5" s="14"/>
      <c r="J5" s="24" t="s">
        <v>5</v>
      </c>
      <c r="K5" s="24"/>
      <c r="L5" s="20"/>
      <c r="M5" s="24" t="s">
        <v>6</v>
      </c>
      <c r="N5" s="24"/>
      <c r="O5" s="20"/>
      <c r="P5" s="1"/>
    </row>
    <row r="6" spans="1:16" x14ac:dyDescent="0.3">
      <c r="A6" s="1"/>
      <c r="B6" s="19" t="s">
        <v>7</v>
      </c>
      <c r="C6" s="20"/>
      <c r="D6" s="2" t="s">
        <v>8</v>
      </c>
      <c r="E6" s="10" t="s">
        <v>22</v>
      </c>
      <c r="F6" s="2" t="s">
        <v>9</v>
      </c>
      <c r="G6" s="10" t="s">
        <v>23</v>
      </c>
      <c r="H6" s="2" t="s">
        <v>10</v>
      </c>
      <c r="I6" s="10" t="s">
        <v>24</v>
      </c>
      <c r="J6" s="2" t="s">
        <v>8</v>
      </c>
      <c r="K6" s="2" t="s">
        <v>9</v>
      </c>
      <c r="L6" s="2" t="s">
        <v>10</v>
      </c>
      <c r="M6" s="2" t="s">
        <v>8</v>
      </c>
      <c r="N6" s="2" t="s">
        <v>9</v>
      </c>
      <c r="O6" s="2" t="s">
        <v>10</v>
      </c>
      <c r="P6" s="1"/>
    </row>
    <row r="7" spans="1:16" x14ac:dyDescent="0.3">
      <c r="A7" s="1"/>
      <c r="B7" s="3"/>
      <c r="C7" s="21" t="s">
        <v>11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1"/>
    </row>
    <row r="8" spans="1:16" x14ac:dyDescent="0.3">
      <c r="A8" s="1">
        <v>1331</v>
      </c>
      <c r="B8" s="4" t="s">
        <v>12</v>
      </c>
      <c r="C8" s="4" t="s">
        <v>13</v>
      </c>
      <c r="D8" s="5">
        <v>74</v>
      </c>
      <c r="E8" s="11">
        <f>D8*A8/100</f>
        <v>984.94</v>
      </c>
      <c r="F8" s="5">
        <v>72</v>
      </c>
      <c r="G8" s="11">
        <f>F8*A8/100</f>
        <v>958.32</v>
      </c>
      <c r="H8" s="5">
        <v>2</v>
      </c>
      <c r="I8" s="11">
        <f>H8*A8/100</f>
        <v>26.62</v>
      </c>
      <c r="J8" s="5">
        <v>0.92</v>
      </c>
      <c r="K8" s="5">
        <v>0.93</v>
      </c>
      <c r="L8" s="5">
        <v>0.1</v>
      </c>
      <c r="M8" s="5">
        <v>0.83</v>
      </c>
      <c r="N8" s="5">
        <v>0.88</v>
      </c>
      <c r="O8" s="5">
        <v>7.0000000000000007E-2</v>
      </c>
      <c r="P8" s="1"/>
    </row>
    <row r="9" spans="1:16" x14ac:dyDescent="0.3">
      <c r="A9" s="1">
        <v>1331</v>
      </c>
      <c r="B9" s="4" t="s">
        <v>14</v>
      </c>
      <c r="C9" s="6">
        <v>0.9</v>
      </c>
      <c r="D9" s="5">
        <v>20</v>
      </c>
      <c r="E9" s="11">
        <f>D9*A9/100</f>
        <v>266.2</v>
      </c>
      <c r="F9" s="5">
        <v>10</v>
      </c>
      <c r="G9" s="11">
        <f t="shared" ref="G9:G11" si="0">F9*A9/100</f>
        <v>133.1</v>
      </c>
      <c r="H9" s="5">
        <v>10</v>
      </c>
      <c r="I9" s="11">
        <f t="shared" ref="I9:I11" si="1">H9*A9/100</f>
        <v>133.1</v>
      </c>
      <c r="J9" s="5">
        <v>0.75</v>
      </c>
      <c r="K9" s="5">
        <v>0.81</v>
      </c>
      <c r="L9" s="5">
        <v>0.28999999999999998</v>
      </c>
      <c r="M9" s="5">
        <v>0.14000000000000001</v>
      </c>
      <c r="N9" s="5">
        <v>0.12</v>
      </c>
      <c r="O9" s="5">
        <v>0.51</v>
      </c>
      <c r="P9" s="1"/>
    </row>
    <row r="10" spans="1:16" x14ac:dyDescent="0.3">
      <c r="A10" s="1">
        <v>1331</v>
      </c>
      <c r="B10" s="4" t="s">
        <v>15</v>
      </c>
      <c r="C10" s="6">
        <v>0.85</v>
      </c>
      <c r="D10" s="5">
        <v>2</v>
      </c>
      <c r="E10" s="11">
        <f>D10*A10/100</f>
        <v>26.62</v>
      </c>
      <c r="F10" s="5">
        <v>0</v>
      </c>
      <c r="G10" s="12">
        <f t="shared" si="0"/>
        <v>0</v>
      </c>
      <c r="H10" s="5">
        <v>2</v>
      </c>
      <c r="I10" s="11">
        <f t="shared" si="1"/>
        <v>26.62</v>
      </c>
      <c r="J10" s="5">
        <v>0.43</v>
      </c>
      <c r="K10" s="3"/>
      <c r="L10" s="5">
        <v>0.43</v>
      </c>
      <c r="M10" s="5">
        <v>0.01</v>
      </c>
      <c r="N10" s="3"/>
      <c r="O10" s="5">
        <v>0.12</v>
      </c>
      <c r="P10" s="1"/>
    </row>
    <row r="11" spans="1:16" x14ac:dyDescent="0.3">
      <c r="A11" s="1">
        <v>1331</v>
      </c>
      <c r="B11" s="4" t="s">
        <v>16</v>
      </c>
      <c r="C11" s="4" t="s">
        <v>17</v>
      </c>
      <c r="D11" s="5">
        <v>4</v>
      </c>
      <c r="E11" s="11">
        <f>D11*A11/100</f>
        <v>53.24</v>
      </c>
      <c r="F11" s="5">
        <v>0</v>
      </c>
      <c r="G11" s="12">
        <f t="shared" si="0"/>
        <v>0</v>
      </c>
      <c r="H11" s="5">
        <v>4</v>
      </c>
      <c r="I11" s="11">
        <f t="shared" si="1"/>
        <v>53.24</v>
      </c>
      <c r="J11" s="5">
        <v>0.13</v>
      </c>
      <c r="K11" s="3"/>
      <c r="L11" s="5">
        <v>0.13</v>
      </c>
      <c r="M11" s="5">
        <v>0.02</v>
      </c>
      <c r="N11" s="3"/>
      <c r="O11" s="5">
        <v>0.3</v>
      </c>
      <c r="P11" s="1"/>
    </row>
    <row r="12" spans="1:16" x14ac:dyDescent="0.3">
      <c r="A12" s="1"/>
      <c r="B12" s="4"/>
      <c r="C12" s="4"/>
      <c r="D12" s="5"/>
      <c r="E12" s="11"/>
      <c r="F12" s="5"/>
      <c r="G12" s="11"/>
      <c r="H12" s="5"/>
      <c r="I12" s="11"/>
      <c r="J12" s="5"/>
      <c r="K12" s="3"/>
      <c r="M12" s="5"/>
      <c r="N12" s="5"/>
      <c r="O12" s="5"/>
      <c r="P12" s="1"/>
    </row>
    <row r="13" spans="1:16" x14ac:dyDescent="0.3">
      <c r="A13" s="1"/>
      <c r="B13" s="1"/>
      <c r="C13" s="22" t="s">
        <v>18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1"/>
    </row>
    <row r="14" spans="1:16" x14ac:dyDescent="0.3">
      <c r="A14" s="1">
        <v>2571</v>
      </c>
      <c r="B14" s="4" t="s">
        <v>12</v>
      </c>
      <c r="C14" s="4" t="s">
        <v>13</v>
      </c>
      <c r="D14" s="5">
        <v>92</v>
      </c>
      <c r="E14" s="11">
        <f>D14*A14/100</f>
        <v>2365.3200000000002</v>
      </c>
      <c r="F14" s="5">
        <v>82</v>
      </c>
      <c r="G14" s="11">
        <f t="shared" ref="G14:G17" si="2">F14*A14/100</f>
        <v>2108.2199999999998</v>
      </c>
      <c r="H14" s="5">
        <v>10</v>
      </c>
      <c r="I14" s="11">
        <f t="shared" ref="I14:I17" si="3">H14*A14/100</f>
        <v>257.10000000000002</v>
      </c>
      <c r="J14" s="5">
        <v>0.94</v>
      </c>
      <c r="K14" s="5">
        <v>0.96</v>
      </c>
      <c r="L14" s="5">
        <v>0.16</v>
      </c>
      <c r="M14" s="5">
        <v>0.93</v>
      </c>
      <c r="N14" s="5">
        <v>0.97</v>
      </c>
      <c r="O14" s="5">
        <v>0.42</v>
      </c>
      <c r="P14" s="1"/>
    </row>
    <row r="15" spans="1:16" x14ac:dyDescent="0.3">
      <c r="A15" s="1">
        <v>2571</v>
      </c>
      <c r="B15" s="4" t="s">
        <v>14</v>
      </c>
      <c r="C15" s="6">
        <v>0.9</v>
      </c>
      <c r="D15" s="5">
        <v>4</v>
      </c>
      <c r="E15" s="11">
        <f t="shared" ref="E15:E17" si="4">D15*A15/100</f>
        <v>102.84</v>
      </c>
      <c r="F15" s="5">
        <v>2</v>
      </c>
      <c r="G15" s="11">
        <f t="shared" si="2"/>
        <v>51.42</v>
      </c>
      <c r="H15" s="5">
        <v>2</v>
      </c>
      <c r="I15" s="11">
        <f t="shared" si="3"/>
        <v>51.42</v>
      </c>
      <c r="J15" s="5">
        <v>0.65</v>
      </c>
      <c r="K15" s="5">
        <v>0.87</v>
      </c>
      <c r="L15" s="5">
        <v>0.34</v>
      </c>
      <c r="M15" s="5">
        <v>0.04</v>
      </c>
      <c r="N15" s="5">
        <v>0.03</v>
      </c>
      <c r="O15" s="5">
        <v>0.15</v>
      </c>
      <c r="P15" s="1"/>
    </row>
    <row r="16" spans="1:16" x14ac:dyDescent="0.3">
      <c r="A16" s="1">
        <v>2571</v>
      </c>
      <c r="B16" s="4" t="s">
        <v>15</v>
      </c>
      <c r="C16" s="6">
        <v>0.85</v>
      </c>
      <c r="D16" s="5">
        <v>1</v>
      </c>
      <c r="E16" s="11">
        <f t="shared" si="4"/>
        <v>25.71</v>
      </c>
      <c r="F16" s="5">
        <v>0</v>
      </c>
      <c r="G16" s="11">
        <f t="shared" si="2"/>
        <v>0</v>
      </c>
      <c r="H16" s="5">
        <v>1</v>
      </c>
      <c r="I16" s="11">
        <f t="shared" si="3"/>
        <v>25.71</v>
      </c>
      <c r="J16" s="5">
        <v>0.24</v>
      </c>
      <c r="K16" s="3"/>
      <c r="L16" s="5">
        <v>0.24</v>
      </c>
      <c r="M16" s="5">
        <v>0.01</v>
      </c>
      <c r="N16" s="3"/>
      <c r="O16" s="5">
        <v>0.11</v>
      </c>
      <c r="P16" s="1"/>
    </row>
    <row r="17" spans="1:16" x14ac:dyDescent="0.3">
      <c r="A17" s="1">
        <v>2571</v>
      </c>
      <c r="B17" s="4" t="s">
        <v>16</v>
      </c>
      <c r="C17" s="4" t="s">
        <v>17</v>
      </c>
      <c r="D17" s="5">
        <v>3</v>
      </c>
      <c r="E17" s="11">
        <f t="shared" si="4"/>
        <v>77.13</v>
      </c>
      <c r="F17" s="5">
        <v>0</v>
      </c>
      <c r="G17" s="11">
        <f t="shared" si="2"/>
        <v>0</v>
      </c>
      <c r="H17" s="5">
        <v>3</v>
      </c>
      <c r="I17" s="11">
        <f t="shared" si="3"/>
        <v>77.13</v>
      </c>
      <c r="J17" s="5">
        <v>0.16</v>
      </c>
      <c r="K17" s="3"/>
      <c r="L17" s="5">
        <v>0.16</v>
      </c>
      <c r="M17" s="5">
        <v>0.02</v>
      </c>
      <c r="N17" s="3"/>
      <c r="O17" s="5">
        <v>0.32</v>
      </c>
      <c r="P17" s="1"/>
    </row>
    <row r="18" spans="1:16" x14ac:dyDescent="0.3">
      <c r="A18" s="1"/>
      <c r="B18" s="1"/>
      <c r="C18" s="1"/>
      <c r="D18" s="1"/>
      <c r="E18" s="15"/>
      <c r="F18" s="1"/>
      <c r="G18" s="15"/>
      <c r="H18" s="18"/>
      <c r="I18" s="15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9"/>
      <c r="F19" s="1"/>
      <c r="G19" s="9"/>
      <c r="H19" s="1"/>
      <c r="I19" s="9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9"/>
      <c r="F20" s="23" t="s">
        <v>19</v>
      </c>
      <c r="G20" s="23"/>
      <c r="H20" s="23"/>
      <c r="I20" s="23"/>
      <c r="J20" s="23"/>
      <c r="K20" s="23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9"/>
      <c r="F21" s="1"/>
      <c r="G21" s="9"/>
      <c r="H21" s="1"/>
      <c r="I21" s="9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9" t="s">
        <v>3</v>
      </c>
      <c r="C22" s="20"/>
      <c r="D22" s="24" t="s">
        <v>4</v>
      </c>
      <c r="E22" s="24"/>
      <c r="F22" s="24"/>
      <c r="G22" s="24"/>
      <c r="H22" s="20"/>
      <c r="I22" s="14"/>
      <c r="J22" s="24" t="s">
        <v>5</v>
      </c>
      <c r="K22" s="24"/>
      <c r="L22" s="20"/>
      <c r="M22" s="24" t="s">
        <v>6</v>
      </c>
      <c r="N22" s="24"/>
      <c r="O22" s="20"/>
      <c r="P22" s="1"/>
    </row>
    <row r="23" spans="1:16" x14ac:dyDescent="0.3">
      <c r="A23" s="1"/>
      <c r="B23" s="19" t="s">
        <v>7</v>
      </c>
      <c r="C23" s="20"/>
      <c r="D23" s="2" t="s">
        <v>8</v>
      </c>
      <c r="E23" s="10" t="s">
        <v>22</v>
      </c>
      <c r="F23" s="2" t="s">
        <v>9</v>
      </c>
      <c r="G23" s="10" t="s">
        <v>23</v>
      </c>
      <c r="H23" s="2" t="s">
        <v>10</v>
      </c>
      <c r="I23" s="10" t="s">
        <v>24</v>
      </c>
      <c r="J23" s="2" t="s">
        <v>8</v>
      </c>
      <c r="K23" s="2" t="s">
        <v>9</v>
      </c>
      <c r="L23" s="2" t="s">
        <v>10</v>
      </c>
      <c r="M23" s="2" t="s">
        <v>8</v>
      </c>
      <c r="N23" s="2" t="s">
        <v>9</v>
      </c>
      <c r="O23" s="2" t="s">
        <v>10</v>
      </c>
      <c r="P23" s="1"/>
    </row>
    <row r="24" spans="1:16" x14ac:dyDescent="0.3">
      <c r="A24" s="1"/>
      <c r="B24" s="3"/>
      <c r="C24" s="21" t="s">
        <v>11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1"/>
    </row>
    <row r="25" spans="1:16" x14ac:dyDescent="0.3">
      <c r="A25" s="1">
        <v>1331</v>
      </c>
      <c r="B25" s="4" t="s">
        <v>12</v>
      </c>
      <c r="C25" s="4" t="s">
        <v>13</v>
      </c>
      <c r="D25" s="5">
        <v>67</v>
      </c>
      <c r="E25" s="11">
        <f>D25*A25/100</f>
        <v>891.77</v>
      </c>
      <c r="F25" s="5">
        <v>63</v>
      </c>
      <c r="G25" s="11">
        <f t="shared" ref="G25:G28" si="5">F25*A25/100</f>
        <v>838.53</v>
      </c>
      <c r="H25" s="5">
        <v>4</v>
      </c>
      <c r="I25" s="11">
        <f t="shared" ref="I25:I28" si="6">H25*A25/100</f>
        <v>53.24</v>
      </c>
      <c r="J25" s="5">
        <v>0.89</v>
      </c>
      <c r="K25" s="5">
        <v>0.94</v>
      </c>
      <c r="L25" s="5">
        <v>0.2</v>
      </c>
      <c r="M25" s="5">
        <v>0.78</v>
      </c>
      <c r="N25" s="5">
        <v>0.82</v>
      </c>
      <c r="O25" s="5">
        <v>0.17</v>
      </c>
      <c r="P25" s="1"/>
    </row>
    <row r="26" spans="1:16" x14ac:dyDescent="0.3">
      <c r="A26" s="1">
        <v>1331</v>
      </c>
      <c r="B26" s="4" t="s">
        <v>14</v>
      </c>
      <c r="C26" s="6">
        <v>0.9</v>
      </c>
      <c r="D26" s="5">
        <v>25</v>
      </c>
      <c r="E26" s="11">
        <f t="shared" ref="E26:E27" si="7">D26*A26/100</f>
        <v>332.75</v>
      </c>
      <c r="F26" s="5">
        <v>16</v>
      </c>
      <c r="G26" s="11">
        <f>F26*A26/100</f>
        <v>212.96</v>
      </c>
      <c r="H26" s="5">
        <v>9</v>
      </c>
      <c r="I26" s="11">
        <f>H26*A26/100</f>
        <v>119.79</v>
      </c>
      <c r="J26" s="5">
        <v>0.6</v>
      </c>
      <c r="K26" s="5">
        <v>0.81</v>
      </c>
      <c r="L26" s="5">
        <v>0.27</v>
      </c>
      <c r="M26" s="5">
        <v>0.19</v>
      </c>
      <c r="N26" s="5">
        <v>0.18</v>
      </c>
      <c r="O26" s="5">
        <v>0.43</v>
      </c>
      <c r="P26" s="1"/>
    </row>
    <row r="27" spans="1:16" x14ac:dyDescent="0.3">
      <c r="A27" s="1">
        <v>1331</v>
      </c>
      <c r="B27" s="4" t="s">
        <v>15</v>
      </c>
      <c r="C27" s="6">
        <v>0.85</v>
      </c>
      <c r="D27" s="5">
        <v>4</v>
      </c>
      <c r="E27" s="11">
        <f t="shared" si="7"/>
        <v>53.24</v>
      </c>
      <c r="F27" s="5">
        <v>0</v>
      </c>
      <c r="G27" s="11">
        <f t="shared" si="5"/>
        <v>0</v>
      </c>
      <c r="H27" s="5">
        <v>4</v>
      </c>
      <c r="I27" s="11">
        <f t="shared" si="6"/>
        <v>53.24</v>
      </c>
      <c r="J27" s="5">
        <v>0.15</v>
      </c>
      <c r="K27" s="3"/>
      <c r="L27" s="5">
        <v>0.15</v>
      </c>
      <c r="M27" s="5">
        <v>0.01</v>
      </c>
      <c r="N27" s="3"/>
      <c r="O27" s="5">
        <v>0.17</v>
      </c>
      <c r="P27" s="1"/>
    </row>
    <row r="28" spans="1:16" x14ac:dyDescent="0.3">
      <c r="A28" s="1">
        <v>1331</v>
      </c>
      <c r="B28" s="4" t="s">
        <v>16</v>
      </c>
      <c r="C28" s="4" t="s">
        <v>17</v>
      </c>
      <c r="D28" s="5">
        <v>4</v>
      </c>
      <c r="E28" s="11">
        <f>D28*A28/100</f>
        <v>53.24</v>
      </c>
      <c r="F28" s="5">
        <v>0</v>
      </c>
      <c r="G28" s="11">
        <f t="shared" si="5"/>
        <v>0</v>
      </c>
      <c r="H28" s="5">
        <v>4</v>
      </c>
      <c r="I28" s="11">
        <f t="shared" si="6"/>
        <v>53.24</v>
      </c>
      <c r="J28" s="5">
        <v>0.16</v>
      </c>
      <c r="K28" s="3"/>
      <c r="L28" s="5">
        <v>0.16</v>
      </c>
      <c r="M28" s="5">
        <v>0.02</v>
      </c>
      <c r="N28" s="3"/>
      <c r="O28" s="5">
        <v>0.23</v>
      </c>
      <c r="P28" s="1"/>
    </row>
    <row r="29" spans="1:16" x14ac:dyDescent="0.3">
      <c r="A29" s="1"/>
      <c r="B29" s="4"/>
      <c r="C29" s="4"/>
      <c r="D29" s="5"/>
      <c r="E29" s="12"/>
      <c r="F29" s="5"/>
      <c r="G29" s="12"/>
      <c r="H29" s="5"/>
      <c r="I29" s="12"/>
      <c r="J29" s="5"/>
      <c r="K29" s="3"/>
      <c r="L29" s="5"/>
      <c r="M29" s="1"/>
      <c r="N29" s="3"/>
      <c r="O29" s="5"/>
      <c r="P29" s="1"/>
    </row>
    <row r="30" spans="1:16" x14ac:dyDescent="0.3">
      <c r="A30" s="1"/>
      <c r="B30" s="1"/>
      <c r="C30" s="22" t="s">
        <v>18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1"/>
    </row>
    <row r="31" spans="1:16" x14ac:dyDescent="0.3">
      <c r="A31" s="1">
        <v>2571</v>
      </c>
      <c r="B31" s="4" t="s">
        <v>12</v>
      </c>
      <c r="C31" s="4" t="s">
        <v>13</v>
      </c>
      <c r="D31" s="5">
        <v>93</v>
      </c>
      <c r="E31" s="11">
        <f t="shared" ref="E31:E33" si="8">D31*A31/100</f>
        <v>2391.0300000000002</v>
      </c>
      <c r="F31" s="5">
        <v>87</v>
      </c>
      <c r="G31" s="11">
        <f>F31*A31/100</f>
        <v>2236.77</v>
      </c>
      <c r="H31" s="5">
        <v>6</v>
      </c>
      <c r="I31" s="11">
        <f>H31*A31/100</f>
        <v>154.26</v>
      </c>
      <c r="J31" s="5">
        <v>0.91</v>
      </c>
      <c r="K31" s="5">
        <v>0.95</v>
      </c>
      <c r="L31" s="5">
        <v>0.2</v>
      </c>
      <c r="M31" s="5">
        <v>0.97</v>
      </c>
      <c r="N31" s="5">
        <v>1</v>
      </c>
      <c r="O31" s="5">
        <v>0.41</v>
      </c>
      <c r="P31" s="1"/>
    </row>
    <row r="32" spans="1:16" x14ac:dyDescent="0.3">
      <c r="A32" s="1">
        <v>2571</v>
      </c>
      <c r="B32" s="4" t="s">
        <v>14</v>
      </c>
      <c r="C32" s="6">
        <v>0.9</v>
      </c>
      <c r="D32" s="5">
        <v>2</v>
      </c>
      <c r="E32" s="11">
        <f t="shared" si="8"/>
        <v>51.42</v>
      </c>
      <c r="F32" s="5">
        <v>0</v>
      </c>
      <c r="G32" s="11">
        <f t="shared" ref="G32:G33" si="9">F32*A32/100</f>
        <v>0</v>
      </c>
      <c r="H32" s="5">
        <v>2</v>
      </c>
      <c r="I32" s="11">
        <f t="shared" ref="I32:I34" si="10">H32*A32/100</f>
        <v>51.42</v>
      </c>
      <c r="J32" s="5">
        <v>0.13</v>
      </c>
      <c r="K32" s="1"/>
      <c r="L32" s="5">
        <v>0.13</v>
      </c>
      <c r="M32" s="5">
        <v>0.01</v>
      </c>
      <c r="N32" s="1"/>
      <c r="O32" s="5">
        <v>0.18</v>
      </c>
      <c r="P32" s="1"/>
    </row>
    <row r="33" spans="1:16" x14ac:dyDescent="0.3">
      <c r="A33" s="1">
        <v>2571</v>
      </c>
      <c r="B33" s="4" t="s">
        <v>15</v>
      </c>
      <c r="C33" s="6">
        <v>0.85</v>
      </c>
      <c r="D33" s="5">
        <v>0</v>
      </c>
      <c r="E33" s="11">
        <f t="shared" si="8"/>
        <v>0</v>
      </c>
      <c r="F33" s="5">
        <v>0</v>
      </c>
      <c r="G33" s="11">
        <f t="shared" si="9"/>
        <v>0</v>
      </c>
      <c r="H33" s="5">
        <v>0</v>
      </c>
      <c r="I33" s="11">
        <f t="shared" si="10"/>
        <v>0</v>
      </c>
      <c r="J33" s="7" t="s">
        <v>20</v>
      </c>
      <c r="K33" s="3"/>
      <c r="L33" s="1"/>
      <c r="M33" s="7" t="s">
        <v>20</v>
      </c>
      <c r="N33" s="3"/>
      <c r="O33" s="1"/>
      <c r="P33" s="1"/>
    </row>
    <row r="34" spans="1:16" x14ac:dyDescent="0.3">
      <c r="A34" s="1">
        <v>2571</v>
      </c>
      <c r="B34" s="4" t="s">
        <v>16</v>
      </c>
      <c r="C34" s="4" t="s">
        <v>17</v>
      </c>
      <c r="D34" s="5">
        <v>5</v>
      </c>
      <c r="E34" s="11">
        <f>D34*A34/100</f>
        <v>128.55000000000001</v>
      </c>
      <c r="F34" s="5">
        <v>1</v>
      </c>
      <c r="G34" s="11">
        <f>F34*A34/100</f>
        <v>25.71</v>
      </c>
      <c r="H34" s="5">
        <v>4</v>
      </c>
      <c r="I34" s="11">
        <f t="shared" si="10"/>
        <v>102.84</v>
      </c>
      <c r="J34" s="5">
        <v>0.35</v>
      </c>
      <c r="K34" s="3"/>
      <c r="L34" s="5">
        <v>0.35</v>
      </c>
      <c r="M34" s="5">
        <v>0.02</v>
      </c>
      <c r="N34" s="3"/>
      <c r="O34" s="5">
        <v>0.41</v>
      </c>
      <c r="P34" s="1"/>
    </row>
    <row r="35" spans="1:16" x14ac:dyDescent="0.3">
      <c r="A35" s="1"/>
      <c r="B35" s="1"/>
      <c r="C35" s="1"/>
      <c r="D35" s="1"/>
      <c r="E35" s="15"/>
      <c r="F35" s="18"/>
      <c r="G35" s="15"/>
      <c r="H35" s="1"/>
      <c r="I35" s="15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9"/>
      <c r="F36" s="1"/>
      <c r="G36" s="9"/>
      <c r="H36" s="1"/>
      <c r="I36" s="9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9"/>
      <c r="F37" s="23" t="s">
        <v>21</v>
      </c>
      <c r="G37" s="23"/>
      <c r="H37" s="23"/>
      <c r="I37" s="23"/>
      <c r="J37" s="23"/>
      <c r="K37" s="23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9"/>
      <c r="F38" s="1"/>
      <c r="G38" s="9"/>
      <c r="H38" s="1"/>
      <c r="I38" s="9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9" t="s">
        <v>3</v>
      </c>
      <c r="C39" s="20"/>
      <c r="D39" s="24" t="s">
        <v>4</v>
      </c>
      <c r="E39" s="24"/>
      <c r="F39" s="24"/>
      <c r="G39" s="24"/>
      <c r="H39" s="20"/>
      <c r="I39" s="14"/>
      <c r="J39" s="24" t="s">
        <v>5</v>
      </c>
      <c r="K39" s="24"/>
      <c r="L39" s="20"/>
      <c r="M39" s="24" t="s">
        <v>6</v>
      </c>
      <c r="N39" s="24"/>
      <c r="O39" s="20"/>
      <c r="P39" s="1"/>
    </row>
    <row r="40" spans="1:16" x14ac:dyDescent="0.3">
      <c r="A40" s="1"/>
      <c r="B40" s="19" t="s">
        <v>7</v>
      </c>
      <c r="C40" s="20"/>
      <c r="D40" s="2" t="s">
        <v>8</v>
      </c>
      <c r="E40" s="10" t="s">
        <v>22</v>
      </c>
      <c r="F40" s="2" t="s">
        <v>9</v>
      </c>
      <c r="G40" s="10" t="s">
        <v>23</v>
      </c>
      <c r="H40" s="2" t="s">
        <v>10</v>
      </c>
      <c r="I40" s="10" t="s">
        <v>24</v>
      </c>
      <c r="J40" s="2" t="s">
        <v>8</v>
      </c>
      <c r="K40" s="2" t="s">
        <v>9</v>
      </c>
      <c r="L40" s="2" t="s">
        <v>10</v>
      </c>
      <c r="M40" s="2" t="s">
        <v>8</v>
      </c>
      <c r="N40" s="2" t="s">
        <v>9</v>
      </c>
      <c r="O40" s="2" t="s">
        <v>10</v>
      </c>
      <c r="P40" s="1"/>
    </row>
    <row r="41" spans="1:16" x14ac:dyDescent="0.3">
      <c r="A41" s="1"/>
      <c r="B41" s="3"/>
      <c r="C41" s="21" t="s">
        <v>11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1"/>
    </row>
    <row r="42" spans="1:16" x14ac:dyDescent="0.3">
      <c r="A42">
        <v>4552</v>
      </c>
      <c r="B42" s="4" t="s">
        <v>12</v>
      </c>
      <c r="C42" s="4" t="s">
        <v>13</v>
      </c>
      <c r="D42" s="5">
        <v>40</v>
      </c>
      <c r="E42" s="11">
        <f t="shared" ref="E42:E45" si="11">D42*A42/100</f>
        <v>1820.8</v>
      </c>
      <c r="F42" s="5">
        <v>39</v>
      </c>
      <c r="G42" s="11">
        <f t="shared" ref="G42:G45" si="12">F42*A42/100</f>
        <v>1775.28</v>
      </c>
      <c r="H42" s="5">
        <v>1</v>
      </c>
      <c r="I42" s="11">
        <f t="shared" ref="I42:I50" si="13">H42*A42/100</f>
        <v>45.52</v>
      </c>
      <c r="J42" s="5">
        <v>0.91</v>
      </c>
      <c r="K42" s="5">
        <v>0.92</v>
      </c>
      <c r="L42" s="5">
        <v>0.77</v>
      </c>
      <c r="M42" s="5">
        <v>0.49</v>
      </c>
      <c r="N42" s="5">
        <v>0.56000000000000005</v>
      </c>
      <c r="O42" s="5">
        <v>7.0000000000000007E-2</v>
      </c>
      <c r="P42" s="1"/>
    </row>
    <row r="43" spans="1:16" x14ac:dyDescent="0.3">
      <c r="A43">
        <v>4552</v>
      </c>
      <c r="B43" s="4" t="s">
        <v>14</v>
      </c>
      <c r="C43" s="6">
        <v>0.9</v>
      </c>
      <c r="D43" s="5">
        <v>21</v>
      </c>
      <c r="E43" s="11">
        <f t="shared" si="11"/>
        <v>955.92</v>
      </c>
      <c r="F43" s="5">
        <v>20</v>
      </c>
      <c r="G43" s="11">
        <f t="shared" si="12"/>
        <v>910.4</v>
      </c>
      <c r="H43" s="5">
        <v>1</v>
      </c>
      <c r="I43" s="11">
        <f t="shared" si="13"/>
        <v>45.52</v>
      </c>
      <c r="J43" s="5">
        <v>0.85</v>
      </c>
      <c r="K43" s="5">
        <v>0.86</v>
      </c>
      <c r="L43" s="5">
        <v>0.64</v>
      </c>
      <c r="M43" s="5">
        <v>0.24</v>
      </c>
      <c r="N43" s="5">
        <v>0.27</v>
      </c>
      <c r="O43" s="5">
        <v>0.05</v>
      </c>
      <c r="P43" s="1"/>
    </row>
    <row r="44" spans="1:16" x14ac:dyDescent="0.3">
      <c r="A44">
        <v>4552</v>
      </c>
      <c r="B44" s="4" t="s">
        <v>15</v>
      </c>
      <c r="C44" s="6">
        <v>0.85</v>
      </c>
      <c r="D44" s="5">
        <v>16</v>
      </c>
      <c r="E44" s="11">
        <f t="shared" si="11"/>
        <v>728.32</v>
      </c>
      <c r="F44" s="5">
        <v>14</v>
      </c>
      <c r="G44" s="11">
        <f t="shared" si="12"/>
        <v>637.28</v>
      </c>
      <c r="H44" s="5">
        <v>2</v>
      </c>
      <c r="I44" s="11">
        <f t="shared" si="13"/>
        <v>91.04</v>
      </c>
      <c r="J44" s="5">
        <v>0.74</v>
      </c>
      <c r="K44" s="8">
        <v>0.79</v>
      </c>
      <c r="L44" s="5">
        <v>0.44</v>
      </c>
      <c r="M44" s="5">
        <v>0.16</v>
      </c>
      <c r="N44" s="8">
        <v>0.17</v>
      </c>
      <c r="O44" s="5">
        <v>0.09</v>
      </c>
      <c r="P44" s="1"/>
    </row>
    <row r="45" spans="1:16" x14ac:dyDescent="0.3">
      <c r="A45">
        <v>4552</v>
      </c>
      <c r="B45" s="4" t="s">
        <v>16</v>
      </c>
      <c r="C45" s="4" t="s">
        <v>17</v>
      </c>
      <c r="D45" s="5">
        <v>23</v>
      </c>
      <c r="E45" s="11">
        <f t="shared" si="11"/>
        <v>1046.96</v>
      </c>
      <c r="F45" s="5">
        <v>1</v>
      </c>
      <c r="G45" s="11">
        <f t="shared" si="12"/>
        <v>45.52</v>
      </c>
      <c r="H45" s="5">
        <v>22</v>
      </c>
      <c r="I45" s="11">
        <f t="shared" si="13"/>
        <v>1001.44</v>
      </c>
      <c r="J45" s="5">
        <v>0.36</v>
      </c>
      <c r="K45" s="8">
        <v>0.03</v>
      </c>
      <c r="L45" s="5">
        <v>0.34</v>
      </c>
      <c r="M45" s="5">
        <v>0.11</v>
      </c>
      <c r="N45" s="8">
        <v>0</v>
      </c>
      <c r="O45" s="5">
        <v>0.79</v>
      </c>
      <c r="P45" s="1"/>
    </row>
    <row r="46" spans="1:16" x14ac:dyDescent="0.3">
      <c r="A46" s="1"/>
      <c r="B46" s="1"/>
      <c r="C46" s="22" t="s">
        <v>18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1"/>
    </row>
    <row r="47" spans="1:16" x14ac:dyDescent="0.3">
      <c r="A47">
        <v>4783</v>
      </c>
      <c r="B47" s="4" t="s">
        <v>12</v>
      </c>
      <c r="C47" s="4" t="s">
        <v>13</v>
      </c>
      <c r="D47" s="5">
        <v>55</v>
      </c>
      <c r="E47" s="11">
        <f t="shared" ref="E47:E50" si="14">D47*A47/100</f>
        <v>2630.65</v>
      </c>
      <c r="F47" s="5">
        <v>55</v>
      </c>
      <c r="G47" s="11">
        <f t="shared" ref="G47:G50" si="15">F47*A47/100</f>
        <v>2630.65</v>
      </c>
      <c r="H47" s="5">
        <v>0</v>
      </c>
      <c r="I47" s="11">
        <f t="shared" si="13"/>
        <v>0</v>
      </c>
      <c r="J47" s="5">
        <v>0.91</v>
      </c>
      <c r="K47" s="5">
        <v>0.91</v>
      </c>
      <c r="L47" s="1"/>
      <c r="M47" s="5">
        <v>0.68</v>
      </c>
      <c r="N47" s="5">
        <v>0.75</v>
      </c>
      <c r="O47" s="1"/>
      <c r="P47" s="1"/>
    </row>
    <row r="48" spans="1:16" x14ac:dyDescent="0.3">
      <c r="A48">
        <v>4783</v>
      </c>
      <c r="B48" s="4" t="s">
        <v>14</v>
      </c>
      <c r="C48" s="6">
        <v>0.9</v>
      </c>
      <c r="D48" s="5">
        <v>29</v>
      </c>
      <c r="E48" s="11">
        <f t="shared" si="14"/>
        <v>1387.07</v>
      </c>
      <c r="F48" s="5">
        <v>19</v>
      </c>
      <c r="G48" s="11">
        <f t="shared" si="15"/>
        <v>908.77</v>
      </c>
      <c r="H48" s="5">
        <v>10</v>
      </c>
      <c r="I48" s="11">
        <f t="shared" si="13"/>
        <v>478.3</v>
      </c>
      <c r="J48" s="5">
        <v>0.63</v>
      </c>
      <c r="K48" s="5">
        <v>0.85</v>
      </c>
      <c r="L48" s="5">
        <v>0.22</v>
      </c>
      <c r="M48" s="5">
        <v>0.26</v>
      </c>
      <c r="N48" s="5">
        <v>0.25</v>
      </c>
      <c r="O48" s="5">
        <v>0.36</v>
      </c>
      <c r="P48" s="1"/>
    </row>
    <row r="49" spans="1:16" x14ac:dyDescent="0.3">
      <c r="A49">
        <v>4783</v>
      </c>
      <c r="B49" s="4" t="s">
        <v>15</v>
      </c>
      <c r="C49" s="6">
        <v>0.85</v>
      </c>
      <c r="D49" s="5">
        <v>14</v>
      </c>
      <c r="E49" s="11">
        <f t="shared" si="14"/>
        <v>669.62</v>
      </c>
      <c r="F49" s="5">
        <v>0</v>
      </c>
      <c r="G49" s="11">
        <f t="shared" si="15"/>
        <v>0</v>
      </c>
      <c r="H49" s="5">
        <v>14</v>
      </c>
      <c r="I49" s="11">
        <f t="shared" si="13"/>
        <v>669.62</v>
      </c>
      <c r="J49" s="5">
        <v>0.27</v>
      </c>
      <c r="K49" s="3"/>
      <c r="L49" s="5">
        <v>0.27</v>
      </c>
      <c r="M49" s="5">
        <v>0.05</v>
      </c>
      <c r="N49" s="3"/>
      <c r="O49" s="5">
        <v>0.57999999999999996</v>
      </c>
      <c r="P49" s="1"/>
    </row>
    <row r="50" spans="1:16" x14ac:dyDescent="0.3">
      <c r="A50">
        <v>4783</v>
      </c>
      <c r="B50" s="4" t="s">
        <v>16</v>
      </c>
      <c r="C50" s="4" t="s">
        <v>17</v>
      </c>
      <c r="D50" s="5">
        <v>2</v>
      </c>
      <c r="E50" s="11">
        <f t="shared" si="14"/>
        <v>95.66</v>
      </c>
      <c r="F50" s="5">
        <v>0</v>
      </c>
      <c r="G50" s="11">
        <f t="shared" si="15"/>
        <v>0</v>
      </c>
      <c r="H50" s="5">
        <v>2</v>
      </c>
      <c r="I50" s="11">
        <f t="shared" si="13"/>
        <v>95.66</v>
      </c>
      <c r="J50" s="5">
        <v>0.14000000000000001</v>
      </c>
      <c r="K50" s="3"/>
      <c r="L50" s="5">
        <v>0.14000000000000001</v>
      </c>
      <c r="M50" s="5">
        <v>0.01</v>
      </c>
      <c r="N50" s="3"/>
      <c r="O50" s="5">
        <v>0.06</v>
      </c>
      <c r="P50" s="1"/>
    </row>
    <row r="51" spans="1:16" x14ac:dyDescent="0.3">
      <c r="E51" s="16"/>
      <c r="F51" s="17"/>
      <c r="G51" s="16"/>
      <c r="I51" s="16"/>
      <c r="M51" s="1"/>
    </row>
  </sheetData>
  <mergeCells count="26">
    <mergeCell ref="A1:O1"/>
    <mergeCell ref="A2:P2"/>
    <mergeCell ref="F3:K3"/>
    <mergeCell ref="B5:C5"/>
    <mergeCell ref="D5:H5"/>
    <mergeCell ref="J5:L5"/>
    <mergeCell ref="M5:O5"/>
    <mergeCell ref="B6:C6"/>
    <mergeCell ref="C7:O7"/>
    <mergeCell ref="C13:O13"/>
    <mergeCell ref="F20:K20"/>
    <mergeCell ref="B22:C22"/>
    <mergeCell ref="D22:H22"/>
    <mergeCell ref="J22:L22"/>
    <mergeCell ref="M22:O22"/>
    <mergeCell ref="B40:C40"/>
    <mergeCell ref="C41:O41"/>
    <mergeCell ref="C46:O46"/>
    <mergeCell ref="B23:C23"/>
    <mergeCell ref="C24:O24"/>
    <mergeCell ref="C30:O30"/>
    <mergeCell ref="F37:K37"/>
    <mergeCell ref="B39:C39"/>
    <mergeCell ref="D39:H39"/>
    <mergeCell ref="J39:L39"/>
    <mergeCell ref="M39:O39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cc-cpa+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Xhulja Shahini</cp:lastModifiedBy>
  <cp:revision>2</cp:revision>
  <dcterms:created xsi:type="dcterms:W3CDTF">2025-08-20T23:17:55Z</dcterms:created>
  <dcterms:modified xsi:type="dcterms:W3CDTF">2025-12-09T15:42:08Z</dcterms:modified>
</cp:coreProperties>
</file>
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xhulj\Desktop\CPa\EX1\Supplementary\CPa_Fault_identification-analysis\"/>
    </mc:Choice>
  </mc:AlternateContent>
  <xr:revisionPtr revIDLastSave="0" documentId="13_ncr:1_{A901098F-C9D0-4AFB-A3B2-402A50AFC462}" xr6:coauthVersionLast="47" xr6:coauthVersionMax="47" xr10:uidLastSave="{00000000-0000-0000-0000-000000000000}"/>
  <bookViews>
    <workbookView xWindow="-108" yWindow="-108" windowWidth="23256" windowHeight="12456" xr2:uid="{00000000-000D-0000-FFFF-FFFF00000000}"/>
  </bookViews>
  <sheets>
    <sheet name="Fault identification analysis " sheetId="4" r:id="rId1"/>
    <sheet name="CodeBERT4JIT" sheetId="1" r:id="rId2"/>
    <sheet name="LApredict" sheetId="2" r:id="rId3"/>
    <sheet name="DeepJIT"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1" l="1"/>
  <c r="K4" i="1"/>
  <c r="AG22" i="4"/>
  <c r="AF22" i="4"/>
  <c r="AB22" i="4"/>
  <c r="AA22" i="4"/>
  <c r="AG21" i="4"/>
  <c r="AF21" i="4"/>
  <c r="AB21" i="4"/>
  <c r="AB23" i="4" s="1"/>
  <c r="AA21" i="4"/>
  <c r="AA23" i="4" s="1"/>
  <c r="AG17" i="4"/>
  <c r="AF17" i="4"/>
  <c r="AB17" i="4"/>
  <c r="AA17" i="4"/>
  <c r="AG16" i="4"/>
  <c r="AF16" i="4"/>
  <c r="AF18" i="4" s="1"/>
  <c r="AB16" i="4"/>
  <c r="AC16" i="4" s="1"/>
  <c r="AA16" i="4"/>
  <c r="AA18" i="4" s="1"/>
  <c r="AG13" i="4"/>
  <c r="AG12" i="4"/>
  <c r="AF12" i="4"/>
  <c r="AH12" i="4" s="1"/>
  <c r="AB12" i="4"/>
  <c r="AB13" i="4" s="1"/>
  <c r="AA12" i="4"/>
  <c r="AG11" i="4"/>
  <c r="AF11" i="4"/>
  <c r="AF13" i="4" s="1"/>
  <c r="AB11" i="4"/>
  <c r="AA11" i="4"/>
  <c r="AG7" i="4"/>
  <c r="AF7" i="4"/>
  <c r="AC7" i="4"/>
  <c r="AB7" i="4"/>
  <c r="AA7" i="4"/>
  <c r="AG6" i="4"/>
  <c r="AG8" i="4" s="1"/>
  <c r="AF6" i="4"/>
  <c r="AB6" i="4"/>
  <c r="AA6" i="4"/>
  <c r="AA8" i="4" s="1"/>
  <c r="U22" i="4"/>
  <c r="V22" i="4" s="1"/>
  <c r="T22" i="4"/>
  <c r="P22" i="4"/>
  <c r="O22" i="4"/>
  <c r="U21" i="4"/>
  <c r="T21" i="4"/>
  <c r="T23" i="4" s="1"/>
  <c r="P21" i="4"/>
  <c r="O21" i="4"/>
  <c r="O23" i="4" s="1"/>
  <c r="U17" i="4"/>
  <c r="T17" i="4"/>
  <c r="P17" i="4"/>
  <c r="Q17" i="4" s="1"/>
  <c r="O17" i="4"/>
  <c r="U16" i="4"/>
  <c r="V16" i="4" s="1"/>
  <c r="T16" i="4"/>
  <c r="T18" i="4" s="1"/>
  <c r="P16" i="4"/>
  <c r="O16" i="4"/>
  <c r="O18" i="4" s="1"/>
  <c r="U13" i="4"/>
  <c r="U12" i="4"/>
  <c r="V12" i="4" s="1"/>
  <c r="T12" i="4"/>
  <c r="P12" i="4"/>
  <c r="Q12" i="4" s="1"/>
  <c r="O12" i="4"/>
  <c r="U11" i="4"/>
  <c r="T11" i="4"/>
  <c r="T13" i="4" s="1"/>
  <c r="P11" i="4"/>
  <c r="P13" i="4" s="1"/>
  <c r="O11" i="4"/>
  <c r="U7" i="4"/>
  <c r="T7" i="4"/>
  <c r="P7" i="4"/>
  <c r="Q7" i="4" s="1"/>
  <c r="O7" i="4"/>
  <c r="U6" i="4"/>
  <c r="T6" i="4"/>
  <c r="T8" i="4" s="1"/>
  <c r="P6" i="4"/>
  <c r="O6" i="4"/>
  <c r="I22" i="4"/>
  <c r="J22" i="4" s="1"/>
  <c r="H22" i="4"/>
  <c r="D22" i="4"/>
  <c r="C22" i="4"/>
  <c r="I21" i="4"/>
  <c r="H21" i="4"/>
  <c r="D21" i="4"/>
  <c r="D23" i="4" s="1"/>
  <c r="C21" i="4"/>
  <c r="I17" i="4"/>
  <c r="J17" i="4" s="1"/>
  <c r="H17" i="4"/>
  <c r="D17" i="4"/>
  <c r="C17" i="4"/>
  <c r="I16" i="4"/>
  <c r="H16" i="4"/>
  <c r="H18" i="4" s="1"/>
  <c r="D16" i="4"/>
  <c r="E16" i="4" s="1"/>
  <c r="C16" i="4"/>
  <c r="I12" i="4"/>
  <c r="J12" i="4" s="1"/>
  <c r="H12" i="4"/>
  <c r="D12" i="4"/>
  <c r="C12" i="4"/>
  <c r="I11" i="4"/>
  <c r="H11" i="4"/>
  <c r="D11" i="4"/>
  <c r="D13" i="4" s="1"/>
  <c r="C11" i="4"/>
  <c r="I7" i="4"/>
  <c r="H7" i="4"/>
  <c r="D7" i="4"/>
  <c r="C7" i="4"/>
  <c r="I6" i="4"/>
  <c r="H6" i="4"/>
  <c r="H8" i="4" s="1"/>
  <c r="D6" i="4"/>
  <c r="C6" i="4"/>
  <c r="Z12" i="1"/>
  <c r="U11" i="1"/>
  <c r="F8" i="2"/>
  <c r="AA5" i="1"/>
  <c r="Z5" i="1"/>
  <c r="AA4" i="1"/>
  <c r="Z4" i="1"/>
  <c r="L5" i="1"/>
  <c r="L4" i="1"/>
  <c r="AD16" i="2"/>
  <c r="AD15" i="2"/>
  <c r="AD14" i="2"/>
  <c r="AC16" i="2"/>
  <c r="AC15" i="2"/>
  <c r="AC14" i="2"/>
  <c r="AB3" i="2"/>
  <c r="Z4" i="2"/>
  <c r="Z3" i="2"/>
  <c r="AB4" i="2"/>
  <c r="AA4" i="2"/>
  <c r="AA3" i="2"/>
  <c r="K4" i="2"/>
  <c r="K3" i="2"/>
  <c r="O15" i="2"/>
  <c r="O14" i="2"/>
  <c r="N15" i="2"/>
  <c r="M15" i="2"/>
  <c r="L15" i="2"/>
  <c r="K15" i="2"/>
  <c r="L14" i="2"/>
  <c r="M10" i="2"/>
  <c r="L10" i="2"/>
  <c r="K10" i="2"/>
  <c r="L9" i="2"/>
  <c r="M9" i="2" s="1"/>
  <c r="K9" i="2"/>
  <c r="L8" i="2"/>
  <c r="K8" i="2"/>
  <c r="L4" i="2"/>
  <c r="M4" i="2" s="1"/>
  <c r="L3" i="2"/>
  <c r="M3" i="2" s="1"/>
  <c r="Q14" i="2"/>
  <c r="Q15" i="2"/>
  <c r="AA15" i="2" s="1"/>
  <c r="Q16" i="2"/>
  <c r="AB5" i="3"/>
  <c r="AA5" i="3"/>
  <c r="Z5" i="3"/>
  <c r="AB4" i="3"/>
  <c r="AA4" i="3"/>
  <c r="Z4" i="3"/>
  <c r="AD16" i="3"/>
  <c r="AD15" i="3"/>
  <c r="AD14" i="3"/>
  <c r="AC16" i="3"/>
  <c r="AC15" i="3"/>
  <c r="L5" i="3"/>
  <c r="K5" i="3"/>
  <c r="M5" i="3" s="1"/>
  <c r="L4" i="3"/>
  <c r="K4" i="3"/>
  <c r="AA10" i="3"/>
  <c r="Z10" i="3"/>
  <c r="AA9" i="3"/>
  <c r="Z9" i="3"/>
  <c r="AA8" i="3"/>
  <c r="Z8" i="3"/>
  <c r="L10" i="3"/>
  <c r="K10" i="3"/>
  <c r="L9" i="3"/>
  <c r="M9" i="3" s="1"/>
  <c r="K9" i="3"/>
  <c r="L8" i="3"/>
  <c r="K8" i="3"/>
  <c r="AA10" i="2"/>
  <c r="Z10" i="2"/>
  <c r="AA9" i="2"/>
  <c r="Z9" i="2"/>
  <c r="AA8" i="2"/>
  <c r="Z8" i="2"/>
  <c r="AB8" i="2" s="1"/>
  <c r="AA12" i="1"/>
  <c r="AA11" i="1"/>
  <c r="AA10" i="1"/>
  <c r="L12" i="1"/>
  <c r="L11" i="1"/>
  <c r="L10" i="1"/>
  <c r="Z11" i="1"/>
  <c r="Z10" i="1"/>
  <c r="K12" i="1"/>
  <c r="K11" i="1"/>
  <c r="K10" i="1"/>
  <c r="F8" i="3"/>
  <c r="U10" i="3"/>
  <c r="T16" i="3"/>
  <c r="S16" i="3"/>
  <c r="R16" i="3"/>
  <c r="Q16" i="3"/>
  <c r="E16" i="3"/>
  <c r="D16" i="3"/>
  <c r="C16" i="3"/>
  <c r="B16" i="3"/>
  <c r="T15" i="3"/>
  <c r="S15" i="3"/>
  <c r="R15" i="3"/>
  <c r="Q15" i="3"/>
  <c r="E15" i="3"/>
  <c r="D15" i="3"/>
  <c r="C15" i="3"/>
  <c r="B15" i="3"/>
  <c r="T14" i="3"/>
  <c r="S14" i="3"/>
  <c r="R14" i="3"/>
  <c r="Q14" i="3"/>
  <c r="E14" i="3"/>
  <c r="D14" i="3"/>
  <c r="C14" i="3"/>
  <c r="B14" i="3"/>
  <c r="X13" i="3"/>
  <c r="I13" i="3"/>
  <c r="X14" i="1"/>
  <c r="X13" i="2"/>
  <c r="I14" i="1"/>
  <c r="I13" i="2"/>
  <c r="T18" i="1"/>
  <c r="S18" i="1"/>
  <c r="R18" i="1"/>
  <c r="Q18" i="1"/>
  <c r="E18" i="1"/>
  <c r="D18" i="1"/>
  <c r="C18" i="1"/>
  <c r="B18" i="1"/>
  <c r="T17" i="1"/>
  <c r="S17" i="1"/>
  <c r="R17" i="1"/>
  <c r="Q17" i="1"/>
  <c r="E17" i="1"/>
  <c r="D17" i="1"/>
  <c r="C17" i="1"/>
  <c r="B17" i="1"/>
  <c r="T16" i="1"/>
  <c r="S16" i="1"/>
  <c r="R16" i="1"/>
  <c r="Q16" i="1"/>
  <c r="E16" i="1"/>
  <c r="D16" i="1"/>
  <c r="C16" i="1"/>
  <c r="B16" i="1"/>
  <c r="U10" i="2"/>
  <c r="T16" i="2"/>
  <c r="S16" i="2"/>
  <c r="R16" i="2"/>
  <c r="T15" i="2"/>
  <c r="S14" i="2"/>
  <c r="S15" i="2"/>
  <c r="R15" i="2"/>
  <c r="T14" i="2"/>
  <c r="R14" i="2"/>
  <c r="B16" i="2"/>
  <c r="E15" i="2"/>
  <c r="D15" i="2"/>
  <c r="C15" i="2"/>
  <c r="B15" i="2"/>
  <c r="B14" i="2"/>
  <c r="I9" i="2"/>
  <c r="F9" i="2"/>
  <c r="E16" i="2"/>
  <c r="L16" i="2" s="1"/>
  <c r="D16" i="2"/>
  <c r="C16" i="2"/>
  <c r="E14" i="2"/>
  <c r="D14" i="2"/>
  <c r="K14" i="2" s="1"/>
  <c r="C14" i="2"/>
  <c r="I8" i="2"/>
  <c r="I3" i="3"/>
  <c r="I3" i="2"/>
  <c r="F10" i="1"/>
  <c r="AH6" i="4" l="1"/>
  <c r="AH17" i="4"/>
  <c r="AG23" i="4"/>
  <c r="AH13" i="4"/>
  <c r="O13" i="4"/>
  <c r="AH11" i="4"/>
  <c r="AC22" i="4"/>
  <c r="AB18" i="4"/>
  <c r="AC18" i="4" s="1"/>
  <c r="J6" i="4"/>
  <c r="I18" i="4"/>
  <c r="I23" i="4"/>
  <c r="P23" i="4"/>
  <c r="AC6" i="4"/>
  <c r="AH7" i="4"/>
  <c r="AG18" i="4"/>
  <c r="AH18" i="4" s="1"/>
  <c r="AC23" i="4"/>
  <c r="AH22" i="4"/>
  <c r="AF8" i="4"/>
  <c r="AC17" i="4"/>
  <c r="AC21" i="4"/>
  <c r="D8" i="4"/>
  <c r="U23" i="4"/>
  <c r="AA13" i="4"/>
  <c r="AC13" i="4" s="1"/>
  <c r="AF23" i="4"/>
  <c r="AH23" i="4" s="1"/>
  <c r="AH8" i="4"/>
  <c r="Q23" i="4"/>
  <c r="AH16" i="4"/>
  <c r="V13" i="4"/>
  <c r="AC12" i="4"/>
  <c r="E12" i="4"/>
  <c r="E17" i="4"/>
  <c r="V11" i="4"/>
  <c r="Q16" i="4"/>
  <c r="P18" i="4"/>
  <c r="Q18" i="4" s="1"/>
  <c r="Q22" i="4"/>
  <c r="AH21" i="4"/>
  <c r="J18" i="4"/>
  <c r="J7" i="4"/>
  <c r="AC11" i="4"/>
  <c r="V6" i="4"/>
  <c r="I8" i="4"/>
  <c r="AB8" i="4"/>
  <c r="AC8" i="4" s="1"/>
  <c r="V17" i="4"/>
  <c r="C13" i="4"/>
  <c r="E13" i="4" s="1"/>
  <c r="C18" i="4"/>
  <c r="C23" i="4"/>
  <c r="E23" i="4" s="1"/>
  <c r="O8" i="4"/>
  <c r="V7" i="4"/>
  <c r="P8" i="4"/>
  <c r="Q8" i="4" s="1"/>
  <c r="U8" i="4"/>
  <c r="V8" i="4" s="1"/>
  <c r="Q21" i="4"/>
  <c r="V23" i="4"/>
  <c r="Q13" i="4"/>
  <c r="Q6" i="4"/>
  <c r="E11" i="4"/>
  <c r="V21" i="4"/>
  <c r="H13" i="4"/>
  <c r="Q11" i="4"/>
  <c r="U18" i="4"/>
  <c r="V18" i="4" s="1"/>
  <c r="J8" i="4"/>
  <c r="I13" i="4"/>
  <c r="E22" i="4"/>
  <c r="C8" i="4"/>
  <c r="J11" i="4"/>
  <c r="H23" i="4"/>
  <c r="J23" i="4" s="1"/>
  <c r="E6" i="4"/>
  <c r="J16" i="4"/>
  <c r="D18" i="4"/>
  <c r="E7" i="4"/>
  <c r="E21" i="4"/>
  <c r="J21" i="4"/>
  <c r="AB11" i="1"/>
  <c r="M12" i="1"/>
  <c r="M4" i="3"/>
  <c r="AB4" i="1"/>
  <c r="AB5" i="1"/>
  <c r="M5" i="1"/>
  <c r="L16" i="1"/>
  <c r="L17" i="1"/>
  <c r="M16" i="2"/>
  <c r="O16" i="2"/>
  <c r="K16" i="2"/>
  <c r="N14" i="2"/>
  <c r="M14" i="2"/>
  <c r="M11" i="1"/>
  <c r="M10" i="1"/>
  <c r="AB10" i="1"/>
  <c r="AA16" i="1"/>
  <c r="AA17" i="1"/>
  <c r="AA18" i="1"/>
  <c r="M4" i="1"/>
  <c r="AB12" i="1"/>
  <c r="L18" i="1"/>
  <c r="M8" i="2"/>
  <c r="AA14" i="2"/>
  <c r="AB10" i="2"/>
  <c r="AA16" i="3"/>
  <c r="M10" i="3"/>
  <c r="X14" i="3"/>
  <c r="Y14" i="3" s="1"/>
  <c r="X15" i="3"/>
  <c r="Y15" i="3" s="1"/>
  <c r="L14" i="3"/>
  <c r="L15" i="3"/>
  <c r="K16" i="3"/>
  <c r="AB9" i="3"/>
  <c r="Z16" i="3"/>
  <c r="AB16" i="3" s="1"/>
  <c r="AB8" i="3"/>
  <c r="AA14" i="3"/>
  <c r="AA15" i="3"/>
  <c r="L16" i="3"/>
  <c r="AB10" i="3"/>
  <c r="Z15" i="3"/>
  <c r="AB15" i="3" s="1"/>
  <c r="Z14" i="3"/>
  <c r="K15" i="3"/>
  <c r="K14" i="3"/>
  <c r="M8" i="3"/>
  <c r="Z15" i="2"/>
  <c r="AB15" i="2" s="1"/>
  <c r="AB9" i="2"/>
  <c r="Z14" i="2"/>
  <c r="AB14" i="2" s="1"/>
  <c r="I16" i="3"/>
  <c r="J16" i="3" s="1"/>
  <c r="F16" i="2"/>
  <c r="F14" i="2"/>
  <c r="K17" i="1"/>
  <c r="K18" i="1"/>
  <c r="Z17" i="1"/>
  <c r="Z18" i="1"/>
  <c r="K16" i="1"/>
  <c r="X16" i="1"/>
  <c r="Y16" i="1" s="1"/>
  <c r="Z16" i="1"/>
  <c r="X18" i="1"/>
  <c r="Y18" i="1" s="1"/>
  <c r="I16" i="1"/>
  <c r="J16" i="1" s="1"/>
  <c r="F15" i="3"/>
  <c r="X16" i="3"/>
  <c r="Y16" i="3" s="1"/>
  <c r="U16" i="3"/>
  <c r="U14" i="3"/>
  <c r="W14" i="3" s="1"/>
  <c r="X17" i="1"/>
  <c r="Y17" i="1" s="1"/>
  <c r="I14" i="3"/>
  <c r="J14" i="3" s="1"/>
  <c r="I15" i="3"/>
  <c r="J15" i="3" s="1"/>
  <c r="F14" i="3"/>
  <c r="U15" i="3"/>
  <c r="F16" i="3"/>
  <c r="F17" i="1"/>
  <c r="U16" i="1"/>
  <c r="F16" i="1"/>
  <c r="U18" i="1"/>
  <c r="F18" i="1"/>
  <c r="I17" i="1"/>
  <c r="I18" i="1"/>
  <c r="J18" i="1" s="1"/>
  <c r="U17" i="1"/>
  <c r="I15" i="2"/>
  <c r="I16" i="2"/>
  <c r="J13" i="4" l="1"/>
  <c r="E8" i="4"/>
  <c r="E18" i="4"/>
  <c r="AC18" i="1"/>
  <c r="N17" i="1"/>
  <c r="O16" i="3"/>
  <c r="M14" i="3"/>
  <c r="N14" i="3"/>
  <c r="N16" i="3"/>
  <c r="O14" i="3"/>
  <c r="AD18" i="1"/>
  <c r="AD17" i="1"/>
  <c r="AB18" i="1"/>
  <c r="AB16" i="1"/>
  <c r="AD16" i="1"/>
  <c r="M17" i="1"/>
  <c r="M16" i="1"/>
  <c r="O17" i="1"/>
  <c r="O18" i="1"/>
  <c r="O16" i="1"/>
  <c r="O15" i="3"/>
  <c r="N15" i="3"/>
  <c r="AC14" i="3"/>
  <c r="N16" i="2"/>
  <c r="N16" i="1"/>
  <c r="AC16" i="1"/>
  <c r="AB17" i="1"/>
  <c r="AC17" i="1"/>
  <c r="M18" i="1"/>
  <c r="N18" i="1"/>
  <c r="H16" i="2"/>
  <c r="AA16" i="2"/>
  <c r="Z16" i="2"/>
  <c r="M16" i="3"/>
  <c r="M15" i="3"/>
  <c r="AB14" i="3"/>
  <c r="W16" i="3"/>
  <c r="W18" i="1"/>
  <c r="W16" i="1"/>
  <c r="W17" i="1"/>
  <c r="H16" i="1"/>
  <c r="H14" i="3"/>
  <c r="H15" i="3"/>
  <c r="W15" i="3"/>
  <c r="H16" i="3"/>
  <c r="H18" i="1"/>
  <c r="H17" i="1"/>
  <c r="J17" i="1"/>
  <c r="I8" i="3"/>
  <c r="J8" i="3" s="1"/>
  <c r="X14" i="2"/>
  <c r="I14" i="2"/>
  <c r="X16" i="2"/>
  <c r="X15" i="2"/>
  <c r="U14" i="2"/>
  <c r="J16" i="2"/>
  <c r="I9" i="3"/>
  <c r="X3" i="2"/>
  <c r="X4" i="1"/>
  <c r="I4" i="1"/>
  <c r="I10" i="1"/>
  <c r="I12" i="1"/>
  <c r="I11" i="1"/>
  <c r="X12" i="1"/>
  <c r="X11" i="1"/>
  <c r="X10" i="1"/>
  <c r="I10" i="2"/>
  <c r="X10" i="2"/>
  <c r="X9" i="2"/>
  <c r="X8" i="2"/>
  <c r="I10" i="3"/>
  <c r="J10" i="3" s="1"/>
  <c r="X8" i="3"/>
  <c r="Y8" i="3" s="1"/>
  <c r="X3" i="3"/>
  <c r="X10" i="3"/>
  <c r="Y10" i="3" s="1"/>
  <c r="X9" i="3"/>
  <c r="Y9" i="3" s="1"/>
  <c r="U8" i="3"/>
  <c r="U12" i="1"/>
  <c r="U3" i="3"/>
  <c r="F3" i="3"/>
  <c r="G16" i="3" s="1"/>
  <c r="AB16" i="2" l="1"/>
  <c r="G15" i="3"/>
  <c r="G14" i="3"/>
  <c r="V14" i="3"/>
  <c r="V16" i="3"/>
  <c r="V15" i="3"/>
  <c r="Y11" i="1"/>
  <c r="Y10" i="1"/>
  <c r="Y12" i="1"/>
  <c r="Y8" i="2"/>
  <c r="Y9" i="2"/>
  <c r="Y10" i="2"/>
  <c r="Y15" i="2"/>
  <c r="Y16" i="2"/>
  <c r="J15" i="2"/>
  <c r="J14" i="2"/>
  <c r="J9" i="2"/>
  <c r="Y14" i="2"/>
  <c r="J10" i="2"/>
  <c r="H8" i="3"/>
  <c r="J8" i="2"/>
  <c r="J10" i="1"/>
  <c r="J11" i="1"/>
  <c r="J12" i="1"/>
  <c r="W12" i="1"/>
  <c r="W14" i="2"/>
  <c r="H8" i="2"/>
  <c r="H14" i="2"/>
  <c r="J9" i="3"/>
  <c r="H9" i="2"/>
  <c r="V8" i="3"/>
  <c r="W8" i="3"/>
  <c r="G8" i="3"/>
  <c r="U9" i="3" l="1"/>
  <c r="W9" i="3" s="1"/>
  <c r="W10" i="3"/>
  <c r="V10" i="3" l="1"/>
  <c r="V9" i="3"/>
  <c r="F10" i="3"/>
  <c r="H10" i="3" s="1"/>
  <c r="F9" i="3"/>
  <c r="H9" i="3" s="1"/>
  <c r="U16" i="2"/>
  <c r="U15" i="2"/>
  <c r="F15" i="2"/>
  <c r="F10" i="2"/>
  <c r="U9" i="2"/>
  <c r="U8" i="2"/>
  <c r="U3" i="2"/>
  <c r="V14" i="2" s="1"/>
  <c r="F3" i="2"/>
  <c r="F12" i="1"/>
  <c r="H12" i="1" s="1"/>
  <c r="W11" i="1"/>
  <c r="F11" i="1"/>
  <c r="U10" i="1"/>
  <c r="W10" i="1" s="1"/>
  <c r="U4" i="1"/>
  <c r="F4" i="1"/>
  <c r="G16" i="2" l="1"/>
  <c r="H10" i="2"/>
  <c r="G16" i="1"/>
  <c r="G17" i="1"/>
  <c r="G18" i="1"/>
  <c r="V16" i="1"/>
  <c r="V18" i="1"/>
  <c r="V17" i="1"/>
  <c r="G10" i="1"/>
  <c r="G9" i="2"/>
  <c r="G14" i="2"/>
  <c r="G8" i="2"/>
  <c r="W15" i="2"/>
  <c r="V15" i="2"/>
  <c r="W16" i="2"/>
  <c r="V16" i="2"/>
  <c r="G15" i="2"/>
  <c r="H15" i="2"/>
  <c r="H10" i="1"/>
  <c r="G11" i="1"/>
  <c r="H11" i="1"/>
  <c r="V11" i="1"/>
  <c r="G12" i="1"/>
  <c r="V12" i="1"/>
  <c r="V10" i="1"/>
  <c r="G10" i="2"/>
  <c r="V10" i="2"/>
  <c r="W10" i="2"/>
  <c r="W8" i="2"/>
  <c r="V8" i="2"/>
  <c r="V9" i="2"/>
  <c r="W9" i="2"/>
  <c r="G9" i="3"/>
  <c r="G10" i="3"/>
</calcChain>
</file>

<file path=xl/sharedStrings.xml><?xml version="1.0" encoding="utf-8"?>
<sst xmlns="http://schemas.openxmlformats.org/spreadsheetml/2006/main" count="332" uniqueCount="64">
  <si>
    <t>QT</t>
  </si>
  <si>
    <t>Openstack</t>
  </si>
  <si>
    <t>TP</t>
  </si>
  <si>
    <t xml:space="preserve">TN </t>
  </si>
  <si>
    <t xml:space="preserve">FP </t>
  </si>
  <si>
    <t>FN</t>
  </si>
  <si>
    <t>TOT</t>
  </si>
  <si>
    <t>CodeBERT</t>
  </si>
  <si>
    <t>α (size=1)</t>
  </si>
  <si>
    <t>0.05</t>
  </si>
  <si>
    <t>0.1</t>
  </si>
  <si>
    <t>0.15</t>
  </si>
  <si>
    <t>LApredict</t>
  </si>
  <si>
    <t>α (size=0,2)</t>
  </si>
  <si>
    <t>DeepJIT</t>
  </si>
  <si>
    <t xml:space="preserve">0.15 </t>
  </si>
  <si>
    <t>TP &amp; TN</t>
  </si>
  <si>
    <t>TP&amp;TN</t>
  </si>
  <si>
    <t>Precision</t>
  </si>
  <si>
    <t>Recall</t>
  </si>
  <si>
    <t>FP&amp;FN</t>
  </si>
  <si>
    <t>Flagged as potentially correct</t>
  </si>
  <si>
    <t>Flagged as uncertain</t>
  </si>
  <si>
    <t>rate flagged %</t>
  </si>
  <si>
    <t>TOT flagged</t>
  </si>
  <si>
    <t>Priority 2 (flagged as uncertain)</t>
  </si>
  <si>
    <t>Priority  1 (Predicted as fault-prone
 &amp; flagged as potentially correct)</t>
  </si>
  <si>
    <t>Identified faults</t>
  </si>
  <si>
    <t>Prio 1 (predicted as fault-prone)</t>
  </si>
  <si>
    <t>Tot identified faults</t>
  </si>
  <si>
    <t>Tot investigated</t>
  </si>
  <si>
    <t>#Investigated</t>
  </si>
  <si>
    <t>#Identified faults</t>
  </si>
  <si>
    <t>Baseline</t>
  </si>
  <si>
    <t># investigated</t>
  </si>
  <si>
    <t xml:space="preserve">Prio </t>
  </si>
  <si>
    <t>Total</t>
  </si>
  <si>
    <t># faults identified</t>
  </si>
  <si>
    <r>
      <t xml:space="preserve">QT </t>
    </r>
    <r>
      <rPr>
        <sz val="11"/>
        <color theme="1"/>
        <rFont val="Calibri"/>
        <family val="2"/>
        <scheme val="minor"/>
      </rPr>
      <t>(181 faulty code changes)</t>
    </r>
  </si>
  <si>
    <r>
      <t xml:space="preserve">OS </t>
    </r>
    <r>
      <rPr>
        <sz val="11"/>
        <color theme="1"/>
        <rFont val="Calibri"/>
        <family val="2"/>
        <scheme val="minor"/>
      </rPr>
      <t>(163 faulty code changes)</t>
    </r>
  </si>
  <si>
    <r>
      <t xml:space="preserve">QT </t>
    </r>
    <r>
      <rPr>
        <sz val="11"/>
        <color theme="1"/>
        <rFont val="Calibri"/>
        <family val="2"/>
        <scheme val="minor"/>
      </rPr>
      <t>(695 faulty code changes)</t>
    </r>
  </si>
  <si>
    <r>
      <t xml:space="preserve">OS </t>
    </r>
    <r>
      <rPr>
        <sz val="11"/>
        <color theme="1"/>
        <rFont val="Calibri"/>
        <family val="2"/>
        <scheme val="minor"/>
      </rPr>
      <t>(875 faulty code changes)</t>
    </r>
  </si>
  <si>
    <t>ID rate</t>
  </si>
  <si>
    <t>Analysis of faults that would have been identified if only the Fault-prone
 predictions had been investigated</t>
  </si>
  <si>
    <t>Confusion Matrix of the predictions of the CL-FP model when categorizing 
commits as Clean/Fault-prone</t>
  </si>
  <si>
    <t>Confusion Matrix of the CP model when flagging 
CL-FP predictions as Potentially correct/uncertain</t>
  </si>
  <si>
    <t>Analysis of faults that would have been identified if  predictions were 
prioritized based on their uncertainty and then analyszed:
prio 1: Fault-prone predictions flagged as potentially correct
prio2: all predictions flagged as uncertain</t>
  </si>
  <si>
    <t>CodeBERT4JIT</t>
  </si>
  <si>
    <t>CPa  with 0.95 certainty</t>
  </si>
  <si>
    <t>CPa  with 0.90 certainty</t>
  </si>
  <si>
    <t>CPa  with 0.85 certainty</t>
  </si>
  <si>
    <t>Lapredict</t>
  </si>
  <si>
    <t xml:space="preserve">The CPa represents the use of CL-FP models with CPa. For this scenarios, as priority 1 (prio 1) practitioners focus on the investigation of the Fault-prone predictions that were flagged by Cpa as potentially correct. Then, if enough resources available, they investigate all the predictions flagged as uncertain (prio 2) </t>
  </si>
  <si>
    <t xml:space="preserve">Results: </t>
  </si>
  <si>
    <t>Variables:</t>
  </si>
  <si>
    <t># faults identified: represents the number of faults that would have been identified by investigating the selected CL-FP predictions</t>
  </si>
  <si>
    <t>#investigated: represents the number of CL-FP predictions that undergo further inspection (manual/ testing)</t>
  </si>
  <si>
    <t>ID rate: represents the identification rate, computed as the rate of #faults identified over the #investigated predictions</t>
  </si>
  <si>
    <t xml:space="preserve">Approach Explanation: </t>
  </si>
  <si>
    <t xml:space="preserve">The baseline represents the use of the CL-FP models without Cpa. For this scenario, we assume practitioners prioritize (prio 1) all Fault-prone predictions, and then, if enough resources available, they might investigate the (Clean) rest of the predictions (prio 2) </t>
  </si>
  <si>
    <t>The left side of the table shows the results on the QT dataset, while the right side shows the results on the Openstack dataset</t>
  </si>
  <si>
    <t xml:space="preserve">the use of Cpa leads to higher identification rate: more faults identified per investigated predictions. This means that CPa offers an effective way to prioritize predictions.
</t>
  </si>
  <si>
    <t xml:space="preserve"> In absolute numbers, when using Cpa to prioritize predictions, in prio 1- less predictions undergo investigations, and fewer faults are identified. As we lower the expected certainty level, CPa enables the identification of more faults (in absolute number) but the number of predictions that  undergo investigation also increases. </t>
  </si>
  <si>
    <t>Regarding the predictions in Prio 2 - for most of the cases, when using Cpa less predictions undergo investigation, however this pattern is not consistent in the experiments with DeepJIT.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</si>
</sst>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20" x14ac:knownFonts="1">
    <font>
      <sz val="11"/>
      <color theme="1"/>
      <name val="Calibri"/>
      <family val="2"/>
      <scheme val="minor"/>
    </font>
    <font>
      <b/>
      <sz val="11"/>
      <color theme="1"/>
      <name val="Calibri"/>
      <family val="2"/>
      <scheme val="minor"/>
    </font>
    <font>
      <sz val="11"/>
      <color theme="0" tint="-0.499984740745262"/>
      <name val="Calibri"/>
      <family val="2"/>
      <scheme val="minor"/>
    </font>
    <font>
      <b/>
      <i/>
      <sz val="11"/>
      <color theme="1" tint="0.499984740745262"/>
      <name val="Calibri"/>
      <family val="2"/>
      <scheme val="minor"/>
    </font>
    <font>
      <b/>
      <i/>
      <sz val="11"/>
      <color theme="0" tint="-0.499984740745262"/>
      <name val="Calibri"/>
      <family val="2"/>
      <scheme val="minor"/>
    </font>
    <font>
      <i/>
      <sz val="11"/>
      <color theme="1"/>
      <name val="Aptos Narrow"/>
      <family val="2"/>
    </font>
    <font>
      <i/>
      <sz val="11"/>
      <color theme="1"/>
      <name val="Calibri"/>
      <family val="2"/>
      <scheme val="minor"/>
    </font>
    <font>
      <sz val="11"/>
      <color theme="1"/>
      <name val="Calibri"/>
      <family val="2"/>
      <scheme val="minor"/>
    </font>
    <font>
      <sz val="11"/>
      <color rgb="FFFF0000"/>
      <name val="Calibri"/>
      <family val="2"/>
      <scheme val="minor"/>
    </font>
    <font>
      <b/>
      <sz val="11"/>
      <color rgb="FFFF0000"/>
      <name val="Calibri"/>
      <family val="2"/>
      <scheme val="minor"/>
    </font>
    <font>
      <sz val="14"/>
      <color theme="0" tint="-0.499984740745262"/>
      <name val="Calibri"/>
      <family val="2"/>
      <scheme val="minor"/>
    </font>
    <font>
      <b/>
      <sz val="14"/>
      <color theme="1"/>
      <name val="Calibri"/>
      <family val="2"/>
      <scheme val="minor"/>
    </font>
    <font>
      <b/>
      <sz val="14"/>
      <color theme="0" tint="-0.499984740745262"/>
      <name val="Calibri"/>
      <family val="2"/>
      <scheme val="minor"/>
    </font>
    <font>
      <i/>
      <sz val="11"/>
      <color theme="0" tint="-0.499984740745262"/>
      <name val="Calibri"/>
      <family val="2"/>
      <scheme val="minor"/>
    </font>
    <font>
      <b/>
      <sz val="11"/>
      <color theme="0" tint="-0.499984740745262"/>
      <name val="Calibri"/>
      <family val="2"/>
      <scheme val="minor"/>
    </font>
    <font>
      <b/>
      <sz val="11"/>
      <name val="Calibri"/>
      <family val="2"/>
      <scheme val="minor"/>
    </font>
    <font>
      <b/>
      <i/>
      <sz val="11"/>
      <name val="Calibri"/>
      <family val="2"/>
      <scheme val="minor"/>
    </font>
    <font>
      <b/>
      <sz val="10"/>
      <color theme="0" tint="-0.499984740745262"/>
      <name val="Calibri"/>
      <family val="2"/>
      <scheme val="minor"/>
    </font>
    <font>
      <b/>
      <sz val="10"/>
      <color theme="4"/>
      <name val="Calibri"/>
      <family val="2"/>
      <scheme val="minor"/>
    </font>
    <font>
      <b/>
      <sz val="16"/>
      <color theme="4" tint="-0.249977111117893"/>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theme="3" tint="0.79998168889431442"/>
        <bgColor indexed="64"/>
      </patternFill>
    </fill>
  </fills>
  <borders count="2">
    <border>
      <left/>
      <right/>
      <top/>
      <bottom/>
      <diagonal/>
    </border>
    <border>
      <left/>
      <right/>
      <top style="thin">
        <color indexed="64"/>
      </top>
      <bottom/>
      <diagonal/>
    </border>
  </borders>
  <cellStyleXfs count="2">
    <xf numFmtId="0" fontId="0" fillId="0" borderId="0"/>
    <xf numFmtId="9" fontId="7" fillId="0" borderId="0" applyFont="0" applyFill="0" applyBorder="0" applyAlignment="0" applyProtection="0"/>
  </cellStyleXfs>
  <cellXfs count="88">
    <xf numFmtId="0" fontId="0" fillId="0" borderId="0" xfId="0"/>
    <xf numFmtId="0" fontId="2" fillId="0" borderId="0" xfId="0" applyFont="1"/>
    <xf numFmtId="0" fontId="3" fillId="0" borderId="0" xfId="0" applyFont="1" applyAlignment="1">
      <alignment horizontal="right"/>
    </xf>
    <xf numFmtId="0" fontId="4" fillId="0" borderId="0" xfId="0" applyFont="1" applyAlignment="1">
      <alignment horizontal="right"/>
    </xf>
    <xf numFmtId="0" fontId="1" fillId="0" borderId="0" xfId="0" applyFont="1" applyAlignment="1">
      <alignment horizontal="right" vertical="center"/>
    </xf>
    <xf numFmtId="1" fontId="1" fillId="0" borderId="0" xfId="0" applyNumberFormat="1" applyFont="1" applyAlignment="1">
      <alignment horizontal="right" vertical="center"/>
    </xf>
    <xf numFmtId="0" fontId="5" fillId="0" borderId="0" xfId="0" applyFont="1"/>
    <xf numFmtId="1" fontId="0" fillId="2" borderId="0" xfId="0" applyNumberFormat="1" applyFill="1"/>
    <xf numFmtId="1" fontId="2" fillId="0" borderId="0" xfId="0" applyNumberFormat="1" applyFont="1"/>
    <xf numFmtId="1" fontId="0" fillId="0" borderId="0" xfId="0" applyNumberFormat="1"/>
    <xf numFmtId="0" fontId="6" fillId="0" borderId="0" xfId="0" applyFont="1"/>
    <xf numFmtId="0" fontId="1" fillId="0" borderId="0" xfId="0" applyFont="1"/>
    <xf numFmtId="1" fontId="0" fillId="3" borderId="0" xfId="0" applyNumberFormat="1" applyFill="1"/>
    <xf numFmtId="1" fontId="4" fillId="0" borderId="0" xfId="0" applyNumberFormat="1" applyFont="1" applyAlignment="1">
      <alignment horizontal="right"/>
    </xf>
    <xf numFmtId="1" fontId="1" fillId="0" borderId="0" xfId="0" applyNumberFormat="1" applyFont="1"/>
    <xf numFmtId="9" fontId="1" fillId="0" borderId="0" xfId="1" applyFont="1"/>
    <xf numFmtId="9" fontId="4" fillId="0" borderId="0" xfId="1" applyFont="1" applyAlignment="1">
      <alignment horizontal="right"/>
    </xf>
    <xf numFmtId="9" fontId="2" fillId="0" borderId="0" xfId="1" applyFont="1"/>
    <xf numFmtId="2" fontId="0" fillId="0" borderId="0" xfId="0" applyNumberFormat="1"/>
    <xf numFmtId="166" fontId="0" fillId="0" borderId="0" xfId="0" applyNumberFormat="1"/>
    <xf numFmtId="0" fontId="0" fillId="0" borderId="0" xfId="0" applyAlignment="1">
      <alignment horizontal="right"/>
    </xf>
    <xf numFmtId="0" fontId="4" fillId="0" borderId="0" xfId="1" applyNumberFormat="1" applyFont="1" applyAlignment="1">
      <alignment horizontal="right"/>
    </xf>
    <xf numFmtId="0" fontId="2" fillId="0" borderId="0" xfId="1" applyNumberFormat="1" applyFont="1"/>
    <xf numFmtId="0" fontId="2" fillId="0" borderId="0" xfId="0" applyFont="1" applyAlignment="1">
      <alignment horizontal="right"/>
    </xf>
    <xf numFmtId="1" fontId="2" fillId="0" borderId="0" xfId="1" applyNumberFormat="1" applyFont="1"/>
    <xf numFmtId="2" fontId="2" fillId="0" borderId="0" xfId="1" applyNumberFormat="1" applyFont="1"/>
    <xf numFmtId="1" fontId="4" fillId="0" borderId="0" xfId="1" applyNumberFormat="1" applyFont="1" applyAlignment="1">
      <alignment horizontal="right"/>
    </xf>
    <xf numFmtId="1" fontId="9" fillId="0" borderId="0" xfId="0" applyNumberFormat="1" applyFont="1"/>
    <xf numFmtId="1" fontId="8" fillId="0" borderId="0" xfId="0" applyNumberFormat="1" applyFont="1"/>
    <xf numFmtId="2" fontId="4" fillId="0" borderId="0" xfId="1" applyNumberFormat="1" applyFont="1" applyAlignment="1">
      <alignment horizontal="right"/>
    </xf>
    <xf numFmtId="9" fontId="0" fillId="0" borderId="0" xfId="1" applyFont="1"/>
    <xf numFmtId="0" fontId="1" fillId="0" borderId="0" xfId="0" applyFont="1" applyAlignment="1">
      <alignment horizontal="center"/>
    </xf>
    <xf numFmtId="9" fontId="4" fillId="0" borderId="0" xfId="1" applyFont="1" applyFill="1" applyAlignment="1">
      <alignment horizontal="right"/>
    </xf>
    <xf numFmtId="9" fontId="0" fillId="0" borderId="0" xfId="1" applyFont="1" applyFill="1"/>
    <xf numFmtId="0" fontId="2" fillId="0" borderId="0" xfId="0" applyFont="1" applyAlignment="1">
      <alignment horizontal="right" vertical="center"/>
    </xf>
    <xf numFmtId="9" fontId="2" fillId="0" borderId="0" xfId="1" applyFont="1" applyFill="1"/>
    <xf numFmtId="165" fontId="0" fillId="0" borderId="0" xfId="1" applyNumberFormat="1" applyFont="1" applyFill="1"/>
    <xf numFmtId="9" fontId="1" fillId="0" borderId="0" xfId="1" applyFont="1" applyFill="1"/>
    <xf numFmtId="1" fontId="3" fillId="0" borderId="0" xfId="0" applyNumberFormat="1" applyFont="1" applyAlignment="1">
      <alignment horizontal="right"/>
    </xf>
    <xf numFmtId="0" fontId="11" fillId="4" borderId="0" xfId="0" applyFont="1" applyFill="1"/>
    <xf numFmtId="0" fontId="12" fillId="4" borderId="0" xfId="0" applyFont="1" applyFill="1"/>
    <xf numFmtId="166" fontId="2" fillId="0" borderId="0" xfId="1" applyNumberFormat="1" applyFont="1"/>
    <xf numFmtId="0" fontId="10" fillId="4" borderId="0" xfId="0" applyFont="1" applyFill="1"/>
    <xf numFmtId="0" fontId="13" fillId="0" borderId="0" xfId="0" applyFont="1" applyAlignment="1">
      <alignment horizontal="right"/>
    </xf>
    <xf numFmtId="0" fontId="1" fillId="0" borderId="0" xfId="0" applyFont="1" applyAlignment="1">
      <alignment horizontal="right"/>
    </xf>
    <xf numFmtId="1" fontId="14" fillId="0" borderId="0" xfId="1" applyNumberFormat="1" applyFont="1"/>
    <xf numFmtId="0" fontId="14" fillId="0" borderId="0" xfId="0" applyFont="1"/>
    <xf numFmtId="2" fontId="14" fillId="0" borderId="0" xfId="1" applyNumberFormat="1" applyFont="1"/>
    <xf numFmtId="1" fontId="14" fillId="0" borderId="0" xfId="0" applyNumberFormat="1" applyFont="1"/>
    <xf numFmtId="2" fontId="2" fillId="0" borderId="0" xfId="0" applyNumberFormat="1" applyFont="1"/>
    <xf numFmtId="164" fontId="2" fillId="0" borderId="0" xfId="0" applyNumberFormat="1" applyFont="1"/>
    <xf numFmtId="2" fontId="13" fillId="0" borderId="0" xfId="1" applyNumberFormat="1" applyFont="1" applyAlignment="1">
      <alignment horizontal="right"/>
    </xf>
    <xf numFmtId="166" fontId="14" fillId="0" borderId="0" xfId="1" applyNumberFormat="1" applyFont="1" applyAlignment="1"/>
    <xf numFmtId="166" fontId="15" fillId="0" borderId="0" xfId="1" applyNumberFormat="1" applyFont="1"/>
    <xf numFmtId="1" fontId="16" fillId="0" borderId="0" xfId="1" applyNumberFormat="1" applyFont="1" applyAlignment="1">
      <alignment horizontal="right"/>
    </xf>
    <xf numFmtId="0" fontId="1" fillId="4" borderId="0" xfId="0" applyFont="1" applyFill="1"/>
    <xf numFmtId="0" fontId="0" fillId="4" borderId="0" xfId="0" applyFill="1"/>
    <xf numFmtId="0" fontId="1" fillId="0" borderId="0" xfId="0" applyFont="1" applyAlignment="1">
      <alignment horizontal="center"/>
    </xf>
    <xf numFmtId="0" fontId="11" fillId="4" borderId="0" xfId="0" applyFont="1" applyFill="1" applyAlignment="1">
      <alignment horizontal="center"/>
    </xf>
    <xf numFmtId="1" fontId="1" fillId="0" borderId="0" xfId="0" applyNumberFormat="1" applyFont="1" applyAlignment="1">
      <alignment horizontal="center" vertical="center"/>
    </xf>
    <xf numFmtId="0" fontId="11" fillId="0" borderId="0" xfId="0" applyFont="1" applyFill="1"/>
    <xf numFmtId="0" fontId="11" fillId="0" borderId="0" xfId="0" applyFont="1" applyFill="1" applyAlignment="1">
      <alignment horizontal="center"/>
    </xf>
    <xf numFmtId="0" fontId="12" fillId="0" borderId="0" xfId="0" applyFont="1" applyFill="1"/>
    <xf numFmtId="0" fontId="10" fillId="0" borderId="0" xfId="0" applyFont="1" applyFill="1"/>
    <xf numFmtId="0" fontId="17" fillId="0" borderId="0" xfId="0" applyFont="1" applyFill="1" applyAlignment="1">
      <alignment horizontal="center"/>
    </xf>
    <xf numFmtId="0" fontId="17" fillId="0" borderId="0" xfId="0" applyFont="1" applyFill="1" applyAlignment="1">
      <alignment horizontal="center" wrapText="1"/>
    </xf>
    <xf numFmtId="0" fontId="18" fillId="0" borderId="0" xfId="0" applyFont="1" applyFill="1" applyAlignment="1">
      <alignment horizontal="center" wrapText="1"/>
    </xf>
    <xf numFmtId="0" fontId="18" fillId="0" borderId="0" xfId="0" applyFont="1" applyFill="1" applyAlignment="1">
      <alignment horizontal="center"/>
    </xf>
    <xf numFmtId="0" fontId="1" fillId="0" borderId="1" xfId="0" applyFont="1" applyBorder="1" applyAlignment="1">
      <alignment horizontal="right" vertical="center"/>
    </xf>
    <xf numFmtId="0" fontId="18" fillId="0" borderId="1" xfId="0" applyFont="1" applyFill="1" applyBorder="1" applyAlignment="1">
      <alignment horizontal="center" wrapText="1"/>
    </xf>
    <xf numFmtId="0" fontId="18" fillId="0" borderId="1" xfId="0" applyFont="1" applyFill="1" applyBorder="1" applyAlignment="1">
      <alignment horizontal="center"/>
    </xf>
    <xf numFmtId="0" fontId="2" fillId="0" borderId="1" xfId="0" applyFont="1" applyBorder="1"/>
    <xf numFmtId="1" fontId="2" fillId="0" borderId="1" xfId="1" applyNumberFormat="1" applyFont="1" applyBorder="1"/>
    <xf numFmtId="0" fontId="17" fillId="0" borderId="1" xfId="0" applyFont="1" applyFill="1" applyBorder="1" applyAlignment="1">
      <alignment horizontal="center" wrapText="1"/>
    </xf>
    <xf numFmtId="0" fontId="17" fillId="0" borderId="1" xfId="0" applyFont="1" applyFill="1" applyBorder="1" applyAlignment="1">
      <alignment horizontal="center"/>
    </xf>
    <xf numFmtId="164" fontId="2" fillId="0" borderId="1" xfId="0" applyNumberFormat="1" applyFont="1" applyBorder="1"/>
    <xf numFmtId="0" fontId="1" fillId="0" borderId="1" xfId="0" applyFont="1" applyBorder="1"/>
    <xf numFmtId="0" fontId="11" fillId="4" borderId="1" xfId="0" applyFont="1" applyFill="1" applyBorder="1"/>
    <xf numFmtId="1" fontId="1" fillId="0" borderId="1" xfId="0" applyNumberFormat="1" applyFont="1" applyBorder="1" applyAlignment="1">
      <alignment horizontal="right" vertical="center"/>
    </xf>
    <xf numFmtId="0" fontId="0" fillId="0" borderId="1" xfId="0" applyBorder="1"/>
    <xf numFmtId="1" fontId="0" fillId="0" borderId="1" xfId="0" applyNumberFormat="1" applyBorder="1"/>
    <xf numFmtId="1" fontId="14" fillId="0" borderId="1" xfId="1" applyNumberFormat="1" applyFont="1" applyBorder="1"/>
    <xf numFmtId="2" fontId="2" fillId="0" borderId="1" xfId="1" applyNumberFormat="1" applyFont="1" applyBorder="1"/>
    <xf numFmtId="0" fontId="1" fillId="5" borderId="0" xfId="0" applyFont="1" applyFill="1" applyAlignment="1">
      <alignment horizontal="center"/>
    </xf>
    <xf numFmtId="0" fontId="1" fillId="6" borderId="0" xfId="0" applyFont="1" applyFill="1" applyAlignment="1">
      <alignment horizontal="center"/>
    </xf>
    <xf numFmtId="0" fontId="19" fillId="0" borderId="0" xfId="0" applyFont="1" applyAlignment="1">
      <alignment horizontal="center"/>
    </xf>
    <xf numFmtId="0" fontId="0" fillId="0" borderId="0" xfId="0" applyFont="1"/>
    <xf numFmtId="0" fontId="0" fillId="0" borderId="0" xfId="0" applyAlignme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D38B5-6936-4D3D-9F3F-1EBF110978A0}">
  <dimension ref="A2:AH37"/>
  <sheetViews>
    <sheetView tabSelected="1" topLeftCell="A17" workbookViewId="0">
      <selection activeCell="C37" sqref="C37"/>
    </sheetView>
  </sheetViews>
  <sheetFormatPr defaultRowHeight="14.4" x14ac:dyDescent="0.3"/>
  <cols>
    <col min="1" max="1" width="12.5546875" customWidth="1"/>
    <col min="3" max="3" width="13" customWidth="1"/>
    <col min="4" max="4" width="15.77734375" customWidth="1"/>
    <col min="8" max="8" width="12.6640625" customWidth="1"/>
    <col min="9" max="9" width="16.33203125" customWidth="1"/>
    <col min="14" max="14" width="8.88671875" customWidth="1"/>
  </cols>
  <sheetData>
    <row r="2" spans="2:34" ht="21" x14ac:dyDescent="0.4">
      <c r="B2" s="85" t="s">
        <v>47</v>
      </c>
      <c r="C2" s="85"/>
      <c r="D2" s="85"/>
      <c r="E2" s="85"/>
      <c r="F2" s="85"/>
      <c r="G2" s="85"/>
      <c r="H2" s="85"/>
      <c r="I2" s="85"/>
      <c r="J2" s="85"/>
      <c r="N2" s="85" t="s">
        <v>14</v>
      </c>
      <c r="O2" s="85"/>
      <c r="P2" s="85"/>
      <c r="Q2" s="85"/>
      <c r="R2" s="85"/>
      <c r="S2" s="85"/>
      <c r="T2" s="85"/>
      <c r="U2" s="85"/>
      <c r="V2" s="85"/>
      <c r="Z2" s="85" t="s">
        <v>51</v>
      </c>
      <c r="AA2" s="85"/>
      <c r="AB2" s="85"/>
      <c r="AC2" s="85"/>
      <c r="AD2" s="85"/>
      <c r="AE2" s="85"/>
      <c r="AF2" s="85"/>
      <c r="AG2" s="85"/>
      <c r="AH2" s="85"/>
    </row>
    <row r="3" spans="2:34" x14ac:dyDescent="0.3">
      <c r="B3" s="11"/>
      <c r="C3" s="57" t="s">
        <v>38</v>
      </c>
      <c r="D3" s="57"/>
      <c r="E3" s="11"/>
      <c r="G3" s="57" t="s">
        <v>39</v>
      </c>
      <c r="H3" s="57"/>
      <c r="I3" s="57"/>
      <c r="J3" s="57"/>
      <c r="N3" s="57" t="s">
        <v>38</v>
      </c>
      <c r="O3" s="57"/>
      <c r="P3" s="57"/>
      <c r="Q3" s="57"/>
      <c r="S3" s="57" t="s">
        <v>39</v>
      </c>
      <c r="T3" s="57"/>
      <c r="U3" s="57"/>
      <c r="V3" s="57"/>
      <c r="Z3" s="57" t="s">
        <v>40</v>
      </c>
      <c r="AA3" s="57"/>
      <c r="AB3" s="57"/>
      <c r="AC3" s="57"/>
      <c r="AE3" s="57" t="s">
        <v>41</v>
      </c>
      <c r="AF3" s="57"/>
      <c r="AG3" s="57"/>
      <c r="AH3" s="57"/>
    </row>
    <row r="4" spans="2:34" x14ac:dyDescent="0.3">
      <c r="B4" s="84" t="s">
        <v>33</v>
      </c>
      <c r="C4" s="84"/>
      <c r="D4" s="84"/>
      <c r="E4" s="84"/>
      <c r="F4" s="84"/>
      <c r="G4" s="84"/>
      <c r="H4" s="84"/>
      <c r="I4" s="84"/>
      <c r="N4" s="84" t="s">
        <v>33</v>
      </c>
      <c r="O4" s="84"/>
      <c r="P4" s="84"/>
      <c r="Q4" s="84"/>
      <c r="R4" s="84"/>
      <c r="S4" s="84"/>
      <c r="T4" s="84"/>
      <c r="U4" s="84"/>
      <c r="Z4" s="84" t="s">
        <v>33</v>
      </c>
      <c r="AA4" s="84"/>
      <c r="AB4" s="84"/>
      <c r="AC4" s="84"/>
      <c r="AD4" s="84"/>
      <c r="AE4" s="84"/>
      <c r="AF4" s="84"/>
      <c r="AG4" s="84"/>
    </row>
    <row r="5" spans="2:34" x14ac:dyDescent="0.3">
      <c r="B5" s="11" t="s">
        <v>35</v>
      </c>
      <c r="C5" s="11" t="s">
        <v>34</v>
      </c>
      <c r="D5" s="11" t="s">
        <v>37</v>
      </c>
      <c r="E5" s="11" t="s">
        <v>42</v>
      </c>
      <c r="F5" s="55"/>
      <c r="G5" s="11" t="s">
        <v>35</v>
      </c>
      <c r="H5" s="11" t="s">
        <v>34</v>
      </c>
      <c r="I5" s="11" t="s">
        <v>37</v>
      </c>
      <c r="J5" s="11" t="s">
        <v>42</v>
      </c>
      <c r="N5" s="11" t="s">
        <v>35</v>
      </c>
      <c r="O5" s="11" t="s">
        <v>34</v>
      </c>
      <c r="P5" s="11" t="s">
        <v>37</v>
      </c>
      <c r="Q5" s="11" t="s">
        <v>42</v>
      </c>
      <c r="R5" s="55"/>
      <c r="S5" s="11" t="s">
        <v>35</v>
      </c>
      <c r="T5" s="11" t="s">
        <v>34</v>
      </c>
      <c r="U5" s="11" t="s">
        <v>37</v>
      </c>
      <c r="V5" s="11" t="s">
        <v>42</v>
      </c>
      <c r="Z5" s="11" t="s">
        <v>35</v>
      </c>
      <c r="AA5" s="11" t="s">
        <v>34</v>
      </c>
      <c r="AB5" s="11" t="s">
        <v>37</v>
      </c>
      <c r="AC5" s="11" t="s">
        <v>42</v>
      </c>
      <c r="AD5" s="55"/>
      <c r="AE5" s="11" t="s">
        <v>35</v>
      </c>
      <c r="AF5" s="11" t="s">
        <v>34</v>
      </c>
      <c r="AG5" s="11" t="s">
        <v>37</v>
      </c>
      <c r="AH5" s="11" t="s">
        <v>42</v>
      </c>
    </row>
    <row r="6" spans="2:34" x14ac:dyDescent="0.3">
      <c r="B6">
        <v>1</v>
      </c>
      <c r="C6" s="9">
        <f>CodeBERT4JIT!K4</f>
        <v>93</v>
      </c>
      <c r="D6" s="9">
        <f>CodeBERT4JIT!L4</f>
        <v>29</v>
      </c>
      <c r="E6" s="18">
        <f>D6/C6</f>
        <v>0.31182795698924731</v>
      </c>
      <c r="F6" s="55"/>
      <c r="G6">
        <v>1</v>
      </c>
      <c r="H6" s="9">
        <f>CodeBERT4JIT!Z4</f>
        <v>90</v>
      </c>
      <c r="I6" s="9">
        <f>CodeBERT4JIT!AA4</f>
        <v>33</v>
      </c>
      <c r="J6" s="18">
        <f>I6/H6</f>
        <v>0.36666666666666664</v>
      </c>
      <c r="N6">
        <v>1</v>
      </c>
      <c r="O6" s="9">
        <f>DeepJIT!K4</f>
        <v>785</v>
      </c>
      <c r="P6" s="9">
        <f>DeepJIT!L4</f>
        <v>124</v>
      </c>
      <c r="Q6" s="18">
        <f>P6/O6</f>
        <v>0.15796178343949044</v>
      </c>
      <c r="R6" s="55"/>
      <c r="S6">
        <v>1</v>
      </c>
      <c r="T6" s="9">
        <f>DeepJIT!Z4</f>
        <v>667.3</v>
      </c>
      <c r="U6" s="9">
        <f>DeepJIT!AA4</f>
        <v>138.04</v>
      </c>
      <c r="V6" s="18">
        <f>U6/T6</f>
        <v>0.20686347969429042</v>
      </c>
      <c r="Z6">
        <v>1</v>
      </c>
      <c r="AA6" s="9">
        <f>LApredict!K3</f>
        <v>50</v>
      </c>
      <c r="AB6" s="9">
        <f>LApredict!L3</f>
        <v>25</v>
      </c>
      <c r="AC6" s="18">
        <f>AB6/AA6</f>
        <v>0.5</v>
      </c>
      <c r="AD6" s="55"/>
      <c r="AE6">
        <v>1</v>
      </c>
      <c r="AF6" s="9">
        <f>LApredict!Z3</f>
        <v>372</v>
      </c>
      <c r="AG6" s="9">
        <f>LApredict!AA3</f>
        <v>201</v>
      </c>
      <c r="AH6" s="18">
        <f>AG6/AF6</f>
        <v>0.54032258064516125</v>
      </c>
    </row>
    <row r="7" spans="2:34" x14ac:dyDescent="0.3">
      <c r="B7">
        <v>2</v>
      </c>
      <c r="C7" s="9">
        <f>CodeBERT4JIT!K5</f>
        <v>2478</v>
      </c>
      <c r="D7" s="9">
        <f>CodeBERT4JIT!L5</f>
        <v>152</v>
      </c>
      <c r="E7" s="18">
        <f>D7/C7</f>
        <v>6.1339790153349477E-2</v>
      </c>
      <c r="F7" s="56"/>
      <c r="G7">
        <v>2</v>
      </c>
      <c r="H7" s="9">
        <f>CodeBERT4JIT!Z5</f>
        <v>1241</v>
      </c>
      <c r="I7" s="9">
        <f>CodeBERT4JIT!AA5</f>
        <v>130</v>
      </c>
      <c r="J7" s="18">
        <f>I7/H7</f>
        <v>0.10475423045930701</v>
      </c>
      <c r="N7">
        <v>2</v>
      </c>
      <c r="O7" s="9">
        <f>DeepJIT!K5</f>
        <v>1786</v>
      </c>
      <c r="P7" s="9">
        <f>DeepJIT!L5</f>
        <v>59</v>
      </c>
      <c r="Q7" s="18">
        <f>P7/O7</f>
        <v>3.3034714445688687E-2</v>
      </c>
      <c r="R7" s="56"/>
      <c r="S7">
        <v>2</v>
      </c>
      <c r="T7" s="9">
        <f>DeepJIT!Z5</f>
        <v>663.7</v>
      </c>
      <c r="U7" s="9">
        <f>DeepJIT!AA5</f>
        <v>24.95</v>
      </c>
      <c r="V7" s="18">
        <f>U7/T7</f>
        <v>3.7592285671237E-2</v>
      </c>
      <c r="Z7">
        <v>2</v>
      </c>
      <c r="AA7" s="9">
        <f>LApredict!K4</f>
        <v>4733</v>
      </c>
      <c r="AB7" s="9">
        <f>LApredict!L4</f>
        <v>670</v>
      </c>
      <c r="AC7" s="18">
        <f>AB7/AA7</f>
        <v>0.14155926473695329</v>
      </c>
      <c r="AD7" s="56"/>
      <c r="AE7">
        <v>2</v>
      </c>
      <c r="AF7" s="9">
        <f>LApredict!Z4</f>
        <v>4180</v>
      </c>
      <c r="AG7" s="9">
        <f>LApredict!AA4</f>
        <v>674</v>
      </c>
      <c r="AH7" s="18">
        <f>AG7/AF7</f>
        <v>0.16124401913875597</v>
      </c>
    </row>
    <row r="8" spans="2:34" x14ac:dyDescent="0.3">
      <c r="B8" t="s">
        <v>36</v>
      </c>
      <c r="C8" s="9">
        <f>C6+C7</f>
        <v>2571</v>
      </c>
      <c r="D8" s="9">
        <f>D6+D7</f>
        <v>181</v>
      </c>
      <c r="E8" s="18">
        <f>D8/C8</f>
        <v>7.0400622325943213E-2</v>
      </c>
      <c r="F8" s="56"/>
      <c r="G8" t="s">
        <v>36</v>
      </c>
      <c r="H8" s="9">
        <f>H6+H7</f>
        <v>1331</v>
      </c>
      <c r="I8" s="9">
        <f>I6+I7</f>
        <v>163</v>
      </c>
      <c r="J8" s="18">
        <f>I8/H8</f>
        <v>0.12246431254695718</v>
      </c>
      <c r="N8" t="s">
        <v>36</v>
      </c>
      <c r="O8" s="9">
        <f>O6+O7</f>
        <v>2571</v>
      </c>
      <c r="P8" s="9">
        <f>P6+P7</f>
        <v>183</v>
      </c>
      <c r="Q8" s="18">
        <f>P8/O8</f>
        <v>7.1178529754959155E-2</v>
      </c>
      <c r="R8" s="56"/>
      <c r="S8" t="s">
        <v>36</v>
      </c>
      <c r="T8" s="9">
        <f>T6+T7</f>
        <v>1331</v>
      </c>
      <c r="U8" s="9">
        <f>U6+U7</f>
        <v>162.98999999999998</v>
      </c>
      <c r="V8" s="18">
        <f>U8/T8</f>
        <v>0.12245679939894814</v>
      </c>
      <c r="Z8" t="s">
        <v>36</v>
      </c>
      <c r="AA8" s="9">
        <f>AA6+AA7</f>
        <v>4783</v>
      </c>
      <c r="AB8" s="9">
        <f>AB6+AB7</f>
        <v>695</v>
      </c>
      <c r="AC8" s="18">
        <f>AB8/AA8</f>
        <v>0.14530629312147189</v>
      </c>
      <c r="AD8" s="56"/>
      <c r="AE8" t="s">
        <v>36</v>
      </c>
      <c r="AF8" s="9">
        <f>AF6+AF7</f>
        <v>4552</v>
      </c>
      <c r="AG8" s="9">
        <f>AG6+AG7</f>
        <v>875</v>
      </c>
      <c r="AH8" s="18">
        <f>AG8/AF8</f>
        <v>0.19222319859402459</v>
      </c>
    </row>
    <row r="9" spans="2:34" x14ac:dyDescent="0.3">
      <c r="B9" s="83" t="s">
        <v>48</v>
      </c>
      <c r="C9" s="83"/>
      <c r="D9" s="83"/>
      <c r="E9" s="83"/>
      <c r="F9" s="83"/>
      <c r="G9" s="83"/>
      <c r="H9" s="83"/>
      <c r="I9" s="83"/>
      <c r="N9" s="83" t="s">
        <v>48</v>
      </c>
      <c r="O9" s="83"/>
      <c r="P9" s="83"/>
      <c r="Q9" s="83"/>
      <c r="R9" s="83"/>
      <c r="S9" s="83"/>
      <c r="T9" s="83"/>
      <c r="U9" s="83"/>
      <c r="Z9" s="83" t="s">
        <v>48</v>
      </c>
      <c r="AA9" s="83"/>
      <c r="AB9" s="83"/>
      <c r="AC9" s="83"/>
      <c r="AD9" s="83"/>
      <c r="AE9" s="83"/>
      <c r="AF9" s="83"/>
      <c r="AG9" s="83"/>
    </row>
    <row r="10" spans="2:34" x14ac:dyDescent="0.3">
      <c r="B10" s="11" t="s">
        <v>35</v>
      </c>
      <c r="C10" s="11" t="s">
        <v>34</v>
      </c>
      <c r="D10" s="11" t="s">
        <v>37</v>
      </c>
      <c r="G10" s="11" t="s">
        <v>35</v>
      </c>
      <c r="H10" s="11" t="s">
        <v>34</v>
      </c>
      <c r="I10" s="11" t="s">
        <v>37</v>
      </c>
      <c r="N10" s="11" t="s">
        <v>35</v>
      </c>
      <c r="O10" s="11" t="s">
        <v>34</v>
      </c>
      <c r="P10" s="11" t="s">
        <v>37</v>
      </c>
      <c r="S10" s="11" t="s">
        <v>35</v>
      </c>
      <c r="T10" s="11" t="s">
        <v>34</v>
      </c>
      <c r="U10" s="11" t="s">
        <v>37</v>
      </c>
      <c r="Z10" s="11" t="s">
        <v>35</v>
      </c>
      <c r="AA10" s="11" t="s">
        <v>34</v>
      </c>
      <c r="AB10" s="11" t="s">
        <v>37</v>
      </c>
      <c r="AE10" s="11" t="s">
        <v>35</v>
      </c>
      <c r="AF10" s="11" t="s">
        <v>34</v>
      </c>
      <c r="AG10" s="11" t="s">
        <v>37</v>
      </c>
    </row>
    <row r="11" spans="2:34" x14ac:dyDescent="0.3">
      <c r="B11">
        <v>1</v>
      </c>
      <c r="C11" s="9">
        <f>CodeBERT4JIT!K10</f>
        <v>23.14</v>
      </c>
      <c r="D11" s="9">
        <f>CodeBERT4JIT!L10</f>
        <v>10.14</v>
      </c>
      <c r="E11" s="18">
        <f>D11/C11</f>
        <v>0.43820224719101125</v>
      </c>
      <c r="F11" s="56"/>
      <c r="G11">
        <v>1</v>
      </c>
      <c r="H11" s="9">
        <f>CodeBERT4JIT!Z10</f>
        <v>12</v>
      </c>
      <c r="I11" s="9">
        <f>CodeBERT4JIT!AA10</f>
        <v>6</v>
      </c>
      <c r="J11" s="18">
        <f>I11/H11</f>
        <v>0.5</v>
      </c>
      <c r="N11">
        <v>1</v>
      </c>
      <c r="O11" s="9">
        <f>DeepJIT!K8</f>
        <v>163</v>
      </c>
      <c r="P11" s="9">
        <f>DeepJIT!L8</f>
        <v>43</v>
      </c>
      <c r="Q11" s="18">
        <f>P11/O11</f>
        <v>0.26380368098159507</v>
      </c>
      <c r="R11" s="56"/>
      <c r="S11">
        <v>1</v>
      </c>
      <c r="T11" s="9">
        <f>DeepJIT!Z8</f>
        <v>103</v>
      </c>
      <c r="U11" s="9">
        <f>DeepJIT!AA8</f>
        <v>27</v>
      </c>
      <c r="V11" s="18">
        <f>U11/T11</f>
        <v>0.26213592233009708</v>
      </c>
      <c r="Z11">
        <v>1</v>
      </c>
      <c r="AA11" s="9">
        <f>LApredict!K8</f>
        <v>3</v>
      </c>
      <c r="AB11" s="9">
        <f>LApredict!L8</f>
        <v>1</v>
      </c>
      <c r="AC11" s="18">
        <f>AB11/AA11</f>
        <v>0.33333333333333331</v>
      </c>
      <c r="AD11" s="56"/>
      <c r="AE11">
        <v>1</v>
      </c>
      <c r="AF11" s="9">
        <f>LApredict!Z8</f>
        <v>41</v>
      </c>
      <c r="AG11" s="9">
        <f>LApredict!AA8</f>
        <v>33</v>
      </c>
      <c r="AH11" s="18">
        <f>AG11/AF11</f>
        <v>0.80487804878048785</v>
      </c>
    </row>
    <row r="12" spans="2:34" x14ac:dyDescent="0.3">
      <c r="B12">
        <v>2</v>
      </c>
      <c r="C12" s="9">
        <f>CodeBERT4JIT!K16</f>
        <v>301.86</v>
      </c>
      <c r="D12" s="9">
        <f>CodeBERT4JIT!L16</f>
        <v>64.86</v>
      </c>
      <c r="E12" s="18">
        <f>D12/C12</f>
        <v>0.21486781951898229</v>
      </c>
      <c r="F12" s="56"/>
      <c r="G12">
        <v>2</v>
      </c>
      <c r="H12" s="9">
        <f>CodeBERT4JIT!Z16</f>
        <v>364</v>
      </c>
      <c r="I12" s="9">
        <f>CodeBERT4JIT!AA16</f>
        <v>95</v>
      </c>
      <c r="J12" s="18">
        <f>I12/H12</f>
        <v>0.26098901098901101</v>
      </c>
      <c r="N12">
        <v>2</v>
      </c>
      <c r="O12" s="9">
        <f>DeepJIT!K14</f>
        <v>1880</v>
      </c>
      <c r="P12" s="9">
        <f>DeepJIT!L14</f>
        <v>134</v>
      </c>
      <c r="Q12" s="18">
        <f>P12/O12</f>
        <v>7.1276595744680857E-2</v>
      </c>
      <c r="R12" s="56"/>
      <c r="S12">
        <v>2</v>
      </c>
      <c r="T12" s="9">
        <f>DeepJIT!Z14</f>
        <v>946.51</v>
      </c>
      <c r="U12" s="9">
        <f>DeepJIT!AA14</f>
        <v>131.5</v>
      </c>
      <c r="V12" s="18">
        <f>U12/T12</f>
        <v>0.13893144287963149</v>
      </c>
      <c r="Z12">
        <v>2</v>
      </c>
      <c r="AA12" s="9">
        <f>LApredict!K14</f>
        <v>2077</v>
      </c>
      <c r="AB12" s="9">
        <f>LApredict!L14</f>
        <v>445</v>
      </c>
      <c r="AC12" s="18">
        <f>AB12/AA12</f>
        <v>0.21425132402503611</v>
      </c>
      <c r="AD12" s="56"/>
      <c r="AE12">
        <v>2</v>
      </c>
      <c r="AF12" s="9">
        <f>LApredict!Z14</f>
        <v>2740</v>
      </c>
      <c r="AG12" s="9">
        <f>LApredict!AA14</f>
        <v>692</v>
      </c>
      <c r="AH12" s="18">
        <f>AG12/AF12</f>
        <v>0.25255474452554744</v>
      </c>
    </row>
    <row r="13" spans="2:34" x14ac:dyDescent="0.3">
      <c r="B13" t="s">
        <v>36</v>
      </c>
      <c r="C13" s="9">
        <f>C11+C12</f>
        <v>325</v>
      </c>
      <c r="D13" s="9">
        <f>D11+D12</f>
        <v>75</v>
      </c>
      <c r="E13" s="18">
        <f>D13/C13</f>
        <v>0.23076923076923078</v>
      </c>
      <c r="F13" s="56"/>
      <c r="G13" t="s">
        <v>36</v>
      </c>
      <c r="H13" s="9">
        <f>H11+H12</f>
        <v>376</v>
      </c>
      <c r="I13" s="9">
        <f>I11+I12</f>
        <v>101</v>
      </c>
      <c r="J13" s="18">
        <f>I13/H13</f>
        <v>0.26861702127659576</v>
      </c>
      <c r="N13" t="s">
        <v>36</v>
      </c>
      <c r="O13" s="9">
        <f>O11+O12</f>
        <v>2043</v>
      </c>
      <c r="P13" s="9">
        <f>P11+P12</f>
        <v>177</v>
      </c>
      <c r="Q13" s="18">
        <f>P13/O13</f>
        <v>8.6637298091042578E-2</v>
      </c>
      <c r="R13" s="56"/>
      <c r="S13" t="s">
        <v>36</v>
      </c>
      <c r="T13" s="9">
        <f>T11+T12</f>
        <v>1049.51</v>
      </c>
      <c r="U13" s="9">
        <f>U11+U12</f>
        <v>158.5</v>
      </c>
      <c r="V13" s="18">
        <f>U13/T13</f>
        <v>0.15102285828624787</v>
      </c>
      <c r="Z13" t="s">
        <v>36</v>
      </c>
      <c r="AA13" s="9">
        <f>AA11+AA12</f>
        <v>2080</v>
      </c>
      <c r="AB13" s="9">
        <f>AB11+AB12</f>
        <v>446</v>
      </c>
      <c r="AC13" s="18">
        <f>AB13/AA13</f>
        <v>0.21442307692307691</v>
      </c>
      <c r="AD13" s="56"/>
      <c r="AE13" t="s">
        <v>36</v>
      </c>
      <c r="AF13" s="9">
        <f>AF11+AF12</f>
        <v>2781</v>
      </c>
      <c r="AG13" s="9">
        <f>AG11+AG12</f>
        <v>725</v>
      </c>
      <c r="AH13" s="18">
        <f>AG13/AF13</f>
        <v>0.26069759079467819</v>
      </c>
    </row>
    <row r="14" spans="2:34" x14ac:dyDescent="0.3">
      <c r="B14" s="83" t="s">
        <v>49</v>
      </c>
      <c r="C14" s="83"/>
      <c r="D14" s="83"/>
      <c r="E14" s="83"/>
      <c r="F14" s="83"/>
      <c r="G14" s="83"/>
      <c r="H14" s="83"/>
      <c r="I14" s="83"/>
      <c r="N14" s="83" t="s">
        <v>49</v>
      </c>
      <c r="O14" s="83"/>
      <c r="P14" s="83"/>
      <c r="Q14" s="83"/>
      <c r="R14" s="83"/>
      <c r="S14" s="83"/>
      <c r="T14" s="83"/>
      <c r="U14" s="83"/>
      <c r="Z14" s="83" t="s">
        <v>49</v>
      </c>
      <c r="AA14" s="83"/>
      <c r="AB14" s="83"/>
      <c r="AC14" s="83"/>
      <c r="AD14" s="83"/>
      <c r="AE14" s="83"/>
      <c r="AF14" s="83"/>
      <c r="AG14" s="83"/>
    </row>
    <row r="15" spans="2:34" x14ac:dyDescent="0.3">
      <c r="B15" s="11" t="s">
        <v>35</v>
      </c>
      <c r="C15" s="11" t="s">
        <v>34</v>
      </c>
      <c r="D15" s="11" t="s">
        <v>37</v>
      </c>
      <c r="G15" s="11" t="s">
        <v>35</v>
      </c>
      <c r="H15" s="11" t="s">
        <v>34</v>
      </c>
      <c r="I15" s="11" t="s">
        <v>37</v>
      </c>
      <c r="N15" s="11" t="s">
        <v>35</v>
      </c>
      <c r="O15" s="11" t="s">
        <v>34</v>
      </c>
      <c r="P15" s="11" t="s">
        <v>37</v>
      </c>
      <c r="S15" s="11" t="s">
        <v>35</v>
      </c>
      <c r="T15" s="11" t="s">
        <v>34</v>
      </c>
      <c r="U15" s="11" t="s">
        <v>37</v>
      </c>
      <c r="Z15" s="11" t="s">
        <v>35</v>
      </c>
      <c r="AA15" s="11" t="s">
        <v>34</v>
      </c>
      <c r="AB15" s="11" t="s">
        <v>37</v>
      </c>
      <c r="AE15" s="11" t="s">
        <v>35</v>
      </c>
      <c r="AF15" s="11" t="s">
        <v>34</v>
      </c>
      <c r="AG15" s="11" t="s">
        <v>37</v>
      </c>
    </row>
    <row r="16" spans="2:34" x14ac:dyDescent="0.3">
      <c r="B16">
        <v>1</v>
      </c>
      <c r="C16" s="9">
        <f>CodeBERT4JIT!K11</f>
        <v>66.180000000000007</v>
      </c>
      <c r="D16" s="9">
        <f>CodeBERT4JIT!L11</f>
        <v>21.18</v>
      </c>
      <c r="E16" s="18">
        <f>D16/C16</f>
        <v>0.32003626473254754</v>
      </c>
      <c r="F16" s="56"/>
      <c r="G16">
        <v>1</v>
      </c>
      <c r="H16" s="9">
        <f>CodeBERT4JIT!Z11</f>
        <v>36</v>
      </c>
      <c r="I16" s="9">
        <f>CodeBERT4JIT!AA11</f>
        <v>15</v>
      </c>
      <c r="J16" s="18">
        <f>I16/H16</f>
        <v>0.41666666666666669</v>
      </c>
      <c r="N16">
        <v>1</v>
      </c>
      <c r="O16" s="9">
        <f>DeepJIT!K9</f>
        <v>312</v>
      </c>
      <c r="P16" s="9">
        <f>DeepJIT!L9</f>
        <v>72</v>
      </c>
      <c r="Q16" s="18">
        <f>P16/O16</f>
        <v>0.23076923076923078</v>
      </c>
      <c r="R16" s="56"/>
      <c r="S16">
        <v>1</v>
      </c>
      <c r="T16" s="9">
        <f>DeepJIT!Z9</f>
        <v>187</v>
      </c>
      <c r="U16" s="9">
        <f>DeepJIT!AA9</f>
        <v>51</v>
      </c>
      <c r="V16" s="18">
        <f>U16/T16</f>
        <v>0.27272727272727271</v>
      </c>
      <c r="Z16">
        <v>1</v>
      </c>
      <c r="AA16" s="9">
        <f>LApredict!K9</f>
        <v>10</v>
      </c>
      <c r="AB16" s="9">
        <f>LApredict!L9</f>
        <v>5</v>
      </c>
      <c r="AC16" s="18">
        <f>AB16/AA16</f>
        <v>0.5</v>
      </c>
      <c r="AD16" s="56"/>
      <c r="AE16">
        <v>1</v>
      </c>
      <c r="AF16" s="9">
        <f>LApredict!Z9</f>
        <v>74</v>
      </c>
      <c r="AG16" s="9">
        <f>LApredict!AA9</f>
        <v>52</v>
      </c>
      <c r="AH16" s="18">
        <f>AG16/AF16</f>
        <v>0.70270270270270274</v>
      </c>
    </row>
    <row r="17" spans="1:34" x14ac:dyDescent="0.3">
      <c r="B17">
        <v>2</v>
      </c>
      <c r="C17" s="9">
        <f>CodeBERT4JIT!K17</f>
        <v>65.819999999999993</v>
      </c>
      <c r="D17" s="9">
        <f>CodeBERT4JIT!L17</f>
        <v>19.82</v>
      </c>
      <c r="E17" s="18">
        <f>D17/C17</f>
        <v>0.30112427833485267</v>
      </c>
      <c r="F17" s="56"/>
      <c r="G17">
        <v>2</v>
      </c>
      <c r="H17" s="9">
        <f>CodeBERT4JIT!Z17</f>
        <v>104</v>
      </c>
      <c r="I17" s="9">
        <f>CodeBERT4JIT!AA17</f>
        <v>33</v>
      </c>
      <c r="J17" s="18">
        <f>I17/H17</f>
        <v>0.31730769230769229</v>
      </c>
      <c r="N17">
        <v>2</v>
      </c>
      <c r="O17" s="9">
        <f>DeepJIT!K15</f>
        <v>1227.3399999999999</v>
      </c>
      <c r="P17" s="9">
        <f>DeepJIT!L15</f>
        <v>90.34</v>
      </c>
      <c r="Q17" s="18">
        <f>P17/O17</f>
        <v>7.3606335652712379E-2</v>
      </c>
      <c r="R17" s="56"/>
      <c r="S17">
        <v>2</v>
      </c>
      <c r="T17" s="9">
        <f>DeepJIT!Z15</f>
        <v>715.51</v>
      </c>
      <c r="U17" s="9">
        <f>DeepJIT!AA15</f>
        <v>103.5</v>
      </c>
      <c r="V17" s="18">
        <f>U17/T17</f>
        <v>0.14465206635826194</v>
      </c>
      <c r="Z17">
        <v>2</v>
      </c>
      <c r="AA17" s="9">
        <f>LApredict!K15</f>
        <v>734</v>
      </c>
      <c r="AB17" s="9">
        <f>LApredict!L15</f>
        <v>204</v>
      </c>
      <c r="AC17" s="18">
        <f>AB17/AA17</f>
        <v>0.27792915531335149</v>
      </c>
      <c r="AD17" s="56"/>
      <c r="AE17">
        <v>2</v>
      </c>
      <c r="AF17" s="9">
        <f>LApredict!Z15</f>
        <v>1780</v>
      </c>
      <c r="AG17" s="9">
        <f>LApredict!AA15</f>
        <v>540</v>
      </c>
      <c r="AH17" s="18">
        <f>AG17/AF17</f>
        <v>0.30337078651685395</v>
      </c>
    </row>
    <row r="18" spans="1:34" x14ac:dyDescent="0.3">
      <c r="B18" t="s">
        <v>36</v>
      </c>
      <c r="C18" s="9">
        <f>C16+C17</f>
        <v>132</v>
      </c>
      <c r="D18" s="9">
        <f>D16+D17</f>
        <v>41</v>
      </c>
      <c r="E18" s="18">
        <f>D18/C18</f>
        <v>0.31060606060606061</v>
      </c>
      <c r="F18" s="56"/>
      <c r="G18" t="s">
        <v>36</v>
      </c>
      <c r="H18" s="9">
        <f>H16+H17</f>
        <v>140</v>
      </c>
      <c r="I18" s="9">
        <f>I16+I17</f>
        <v>48</v>
      </c>
      <c r="J18" s="18">
        <f>I18/H18</f>
        <v>0.34285714285714286</v>
      </c>
      <c r="N18" t="s">
        <v>36</v>
      </c>
      <c r="O18" s="9">
        <f>O16+O17</f>
        <v>1539.34</v>
      </c>
      <c r="P18" s="9">
        <f>P16+P17</f>
        <v>162.34</v>
      </c>
      <c r="Q18" s="18">
        <f>P18/O18</f>
        <v>0.1054607818935388</v>
      </c>
      <c r="R18" s="56"/>
      <c r="S18" t="s">
        <v>36</v>
      </c>
      <c r="T18" s="9">
        <f>T16+T17</f>
        <v>902.51</v>
      </c>
      <c r="U18" s="9">
        <f>U16+U17</f>
        <v>154.5</v>
      </c>
      <c r="V18" s="18">
        <f>U18/T18</f>
        <v>0.1711892389004</v>
      </c>
      <c r="Z18" t="s">
        <v>36</v>
      </c>
      <c r="AA18" s="9">
        <f>AA16+AA17</f>
        <v>744</v>
      </c>
      <c r="AB18" s="9">
        <f>AB16+AB17</f>
        <v>209</v>
      </c>
      <c r="AC18" s="18">
        <f>AB18/AA18</f>
        <v>0.28091397849462363</v>
      </c>
      <c r="AD18" s="56"/>
      <c r="AE18" t="s">
        <v>36</v>
      </c>
      <c r="AF18" s="9">
        <f>AF16+AF17</f>
        <v>1854</v>
      </c>
      <c r="AG18" s="9">
        <f>AG16+AG17</f>
        <v>592</v>
      </c>
      <c r="AH18" s="18">
        <f>AG18/AF18</f>
        <v>0.31930960086299892</v>
      </c>
    </row>
    <row r="19" spans="1:34" x14ac:dyDescent="0.3">
      <c r="B19" s="83" t="s">
        <v>50</v>
      </c>
      <c r="C19" s="83"/>
      <c r="D19" s="83"/>
      <c r="E19" s="83"/>
      <c r="F19" s="83"/>
      <c r="G19" s="83"/>
      <c r="H19" s="83"/>
      <c r="I19" s="83"/>
      <c r="N19" s="83" t="s">
        <v>50</v>
      </c>
      <c r="O19" s="83"/>
      <c r="P19" s="83"/>
      <c r="Q19" s="83"/>
      <c r="R19" s="83"/>
      <c r="S19" s="83"/>
      <c r="T19" s="83"/>
      <c r="U19" s="83"/>
      <c r="Z19" s="83" t="s">
        <v>50</v>
      </c>
      <c r="AA19" s="83"/>
      <c r="AB19" s="83"/>
      <c r="AC19" s="83"/>
      <c r="AD19" s="83"/>
      <c r="AE19" s="83"/>
      <c r="AF19" s="83"/>
      <c r="AG19" s="83"/>
    </row>
    <row r="20" spans="1:34" x14ac:dyDescent="0.3">
      <c r="B20" s="11" t="s">
        <v>35</v>
      </c>
      <c r="C20" s="11" t="s">
        <v>34</v>
      </c>
      <c r="D20" s="11" t="s">
        <v>37</v>
      </c>
      <c r="G20" s="11" t="s">
        <v>35</v>
      </c>
      <c r="H20" s="11" t="s">
        <v>34</v>
      </c>
      <c r="I20" s="11" t="s">
        <v>37</v>
      </c>
      <c r="N20" s="11" t="s">
        <v>35</v>
      </c>
      <c r="O20" s="11" t="s">
        <v>34</v>
      </c>
      <c r="P20" s="11" t="s">
        <v>37</v>
      </c>
      <c r="S20" s="11" t="s">
        <v>35</v>
      </c>
      <c r="T20" s="11" t="s">
        <v>34</v>
      </c>
      <c r="U20" s="11" t="s">
        <v>37</v>
      </c>
      <c r="Z20" s="11" t="s">
        <v>35</v>
      </c>
      <c r="AA20" s="11" t="s">
        <v>34</v>
      </c>
      <c r="AB20" s="11" t="s">
        <v>37</v>
      </c>
      <c r="AE20" s="11" t="s">
        <v>35</v>
      </c>
      <c r="AF20" s="11" t="s">
        <v>34</v>
      </c>
      <c r="AG20" s="11" t="s">
        <v>37</v>
      </c>
    </row>
    <row r="21" spans="1:34" x14ac:dyDescent="0.3">
      <c r="B21">
        <v>1</v>
      </c>
      <c r="C21" s="9">
        <f>CodeBERT4JIT!K12</f>
        <v>29.33</v>
      </c>
      <c r="D21" s="9">
        <f>CodeBERT4JIT!L12</f>
        <v>11.33</v>
      </c>
      <c r="E21" s="18">
        <f>D21/C21</f>
        <v>0.38629389703375389</v>
      </c>
      <c r="F21" s="56"/>
      <c r="G21">
        <v>1</v>
      </c>
      <c r="H21" s="9">
        <f>CodeBERT4JIT!Z12</f>
        <v>68</v>
      </c>
      <c r="I21" s="9">
        <f>CodeBERT4JIT!AA12</f>
        <v>25</v>
      </c>
      <c r="J21" s="18">
        <f>I21/H21</f>
        <v>0.36764705882352944</v>
      </c>
      <c r="N21">
        <v>1</v>
      </c>
      <c r="O21" s="9">
        <f>DeepJIT!K10</f>
        <v>463</v>
      </c>
      <c r="P21" s="9">
        <f>DeepJIT!L10</f>
        <v>96</v>
      </c>
      <c r="Q21" s="18">
        <f>P21/O21</f>
        <v>0.20734341252699784</v>
      </c>
      <c r="R21" s="56"/>
      <c r="S21">
        <v>1</v>
      </c>
      <c r="T21" s="9">
        <f>DeepJIT!Z10</f>
        <v>284</v>
      </c>
      <c r="U21" s="9">
        <f>DeepJIT!AA10</f>
        <v>73</v>
      </c>
      <c r="V21" s="18">
        <f>U21/T21</f>
        <v>0.25704225352112675</v>
      </c>
      <c r="Z21">
        <v>1</v>
      </c>
      <c r="AA21" s="9">
        <f>LApredict!K10</f>
        <v>27</v>
      </c>
      <c r="AB21" s="9">
        <f>LApredict!L10</f>
        <v>15</v>
      </c>
      <c r="AC21" s="18">
        <f>AB21/AA21</f>
        <v>0.55555555555555558</v>
      </c>
      <c r="AD21" s="56"/>
      <c r="AE21">
        <v>1</v>
      </c>
      <c r="AF21" s="9">
        <f>LApredict!Z10</f>
        <v>136</v>
      </c>
      <c r="AG21" s="9">
        <f>LApredict!AA10</f>
        <v>92</v>
      </c>
      <c r="AH21" s="18">
        <f>AG21/AF21</f>
        <v>0.67647058823529416</v>
      </c>
    </row>
    <row r="22" spans="1:34" x14ac:dyDescent="0.3">
      <c r="B22">
        <v>2</v>
      </c>
      <c r="C22" s="9">
        <f>CodeBERT4JIT!K18</f>
        <v>257.67</v>
      </c>
      <c r="D22" s="9">
        <f>CodeBERT4JIT!L18</f>
        <v>58.67</v>
      </c>
      <c r="E22" s="18">
        <f>D22/C22</f>
        <v>0.22769433771878758</v>
      </c>
      <c r="F22" s="56"/>
      <c r="G22">
        <v>2</v>
      </c>
      <c r="H22" s="9">
        <f>CodeBERT4JIT!Z18</f>
        <v>33</v>
      </c>
      <c r="I22" s="9">
        <f>CodeBERT4JIT!AA18</f>
        <v>9</v>
      </c>
      <c r="J22" s="18">
        <f>I22/H22</f>
        <v>0.27272727272727271</v>
      </c>
      <c r="N22">
        <v>2</v>
      </c>
      <c r="O22" s="9">
        <f>DeepJIT!K16</f>
        <v>761</v>
      </c>
      <c r="P22" s="9">
        <f>DeepJIT!L16</f>
        <v>50</v>
      </c>
      <c r="Q22" s="18">
        <f>P22/O22</f>
        <v>6.5703022339027597E-2</v>
      </c>
      <c r="R22" s="56"/>
      <c r="S22">
        <v>2</v>
      </c>
      <c r="T22" s="9">
        <f>DeepJIT!Z16</f>
        <v>601</v>
      </c>
      <c r="U22" s="9">
        <f>DeepJIT!AA16</f>
        <v>81.99</v>
      </c>
      <c r="V22" s="18">
        <f>U22/T22</f>
        <v>0.13642262895174709</v>
      </c>
      <c r="Z22">
        <v>2</v>
      </c>
      <c r="AA22" s="9">
        <f>LApredict!K16</f>
        <v>85</v>
      </c>
      <c r="AB22" s="9">
        <f>LApredict!L16</f>
        <v>28</v>
      </c>
      <c r="AC22" s="18">
        <f>AB22/AA22</f>
        <v>0.32941176470588235</v>
      </c>
      <c r="AD22" s="56"/>
      <c r="AE22">
        <v>2</v>
      </c>
      <c r="AF22" s="9">
        <f>LApredict!Z16</f>
        <v>1023</v>
      </c>
      <c r="AG22" s="9">
        <f>LApredict!AA16</f>
        <v>348</v>
      </c>
      <c r="AH22" s="18">
        <f>AG22/AF22</f>
        <v>0.34017595307917886</v>
      </c>
    </row>
    <row r="23" spans="1:34" x14ac:dyDescent="0.3">
      <c r="B23" t="s">
        <v>36</v>
      </c>
      <c r="C23" s="9">
        <f>C21+C22</f>
        <v>287</v>
      </c>
      <c r="D23" s="9">
        <f>D21+D22</f>
        <v>70</v>
      </c>
      <c r="E23" s="18">
        <f>D23/C23</f>
        <v>0.24390243902439024</v>
      </c>
      <c r="F23" s="56"/>
      <c r="G23" t="s">
        <v>36</v>
      </c>
      <c r="H23" s="9">
        <f>H21+H22</f>
        <v>101</v>
      </c>
      <c r="I23" s="9">
        <f>I21+I22</f>
        <v>34</v>
      </c>
      <c r="J23" s="18">
        <f>I23/H23</f>
        <v>0.33663366336633666</v>
      </c>
      <c r="N23" t="s">
        <v>36</v>
      </c>
      <c r="O23" s="9">
        <f>O21+O22</f>
        <v>1224</v>
      </c>
      <c r="P23" s="9">
        <f>P21+P22</f>
        <v>146</v>
      </c>
      <c r="Q23" s="18">
        <f>P23/O23</f>
        <v>0.11928104575163399</v>
      </c>
      <c r="R23" s="56"/>
      <c r="S23" t="s">
        <v>36</v>
      </c>
      <c r="T23" s="9">
        <f>T21+T22</f>
        <v>885</v>
      </c>
      <c r="U23" s="9">
        <f>U21+U22</f>
        <v>154.99</v>
      </c>
      <c r="V23" s="18">
        <f>U23/T23</f>
        <v>0.17512994350282488</v>
      </c>
      <c r="Z23" t="s">
        <v>36</v>
      </c>
      <c r="AA23" s="9">
        <f>AA21+AA22</f>
        <v>112</v>
      </c>
      <c r="AB23" s="9">
        <f>AB21+AB22</f>
        <v>43</v>
      </c>
      <c r="AC23" s="18">
        <f>AB23/AA23</f>
        <v>0.38392857142857145</v>
      </c>
      <c r="AD23" s="56"/>
      <c r="AE23" t="s">
        <v>36</v>
      </c>
      <c r="AF23" s="9">
        <f>AF21+AF22</f>
        <v>1159</v>
      </c>
      <c r="AG23" s="9">
        <f>AG21+AG22</f>
        <v>440</v>
      </c>
      <c r="AH23" s="18">
        <f>AG23/AF23</f>
        <v>0.37963761863675582</v>
      </c>
    </row>
    <row r="27" spans="1:34" x14ac:dyDescent="0.3">
      <c r="A27" s="57" t="s">
        <v>58</v>
      </c>
      <c r="B27" s="57"/>
      <c r="C27" t="s">
        <v>59</v>
      </c>
    </row>
    <row r="28" spans="1:34" x14ac:dyDescent="0.3">
      <c r="C28" t="s">
        <v>52</v>
      </c>
    </row>
    <row r="30" spans="1:34" x14ac:dyDescent="0.3">
      <c r="A30" s="57" t="s">
        <v>54</v>
      </c>
      <c r="B30" s="57"/>
      <c r="C30" t="s">
        <v>56</v>
      </c>
    </row>
    <row r="31" spans="1:34" x14ac:dyDescent="0.3">
      <c r="C31" s="86" t="s">
        <v>55</v>
      </c>
    </row>
    <row r="32" spans="1:34" x14ac:dyDescent="0.3">
      <c r="C32" s="86" t="s">
        <v>57</v>
      </c>
    </row>
    <row r="33" spans="1:3" x14ac:dyDescent="0.3">
      <c r="C33" s="86" t="s">
        <v>60</v>
      </c>
    </row>
    <row r="35" spans="1:3" x14ac:dyDescent="0.3">
      <c r="A35" s="57" t="s">
        <v>53</v>
      </c>
      <c r="B35" s="57"/>
      <c r="C35" s="87" t="s">
        <v>61</v>
      </c>
    </row>
    <row r="36" spans="1:3" x14ac:dyDescent="0.3">
      <c r="C36" t="s">
        <v>62</v>
      </c>
    </row>
    <row r="37" spans="1:3" x14ac:dyDescent="0.3">
      <c r="C37" t="s">
        <v>63</v>
      </c>
    </row>
  </sheetData>
  <mergeCells count="24">
    <mergeCell ref="A27:B27"/>
    <mergeCell ref="A30:B30"/>
    <mergeCell ref="A35:B35"/>
    <mergeCell ref="N2:V2"/>
    <mergeCell ref="Z2:AH2"/>
    <mergeCell ref="Z19:AG19"/>
    <mergeCell ref="Z4:AG4"/>
    <mergeCell ref="Z9:AG9"/>
    <mergeCell ref="Z14:AG14"/>
    <mergeCell ref="Z3:AC3"/>
    <mergeCell ref="AE3:AH3"/>
    <mergeCell ref="N19:U19"/>
    <mergeCell ref="S3:V3"/>
    <mergeCell ref="N3:Q3"/>
    <mergeCell ref="N4:U4"/>
    <mergeCell ref="N9:U9"/>
    <mergeCell ref="N14:U14"/>
    <mergeCell ref="B2:J2"/>
    <mergeCell ref="B19:I19"/>
    <mergeCell ref="C3:D3"/>
    <mergeCell ref="B4:I4"/>
    <mergeCell ref="B9:I9"/>
    <mergeCell ref="B14:I14"/>
    <mergeCell ref="G3:J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43"/>
  <sheetViews>
    <sheetView workbookViewId="0">
      <selection activeCell="K6" sqref="K6:M6"/>
    </sheetView>
  </sheetViews>
  <sheetFormatPr defaultRowHeight="18" x14ac:dyDescent="0.35"/>
  <cols>
    <col min="1" max="1" width="10.44140625" customWidth="1"/>
    <col min="2" max="2" width="8.77734375" bestFit="1" customWidth="1"/>
    <col min="3" max="3" width="16.33203125" customWidth="1"/>
    <col min="4" max="4" width="18.44140625" customWidth="1"/>
    <col min="5" max="5" width="8.77734375" bestFit="1" customWidth="1"/>
    <col min="6" max="6" width="12.109375" style="1" customWidth="1"/>
    <col min="7" max="8" width="7.88671875" style="1" customWidth="1"/>
    <col min="9" max="9" width="7.21875" style="1" customWidth="1"/>
    <col min="10" max="10" width="8.33203125" style="1" customWidth="1"/>
    <col min="11" max="11" width="33.21875" style="46" customWidth="1"/>
    <col min="12" max="12" width="17" style="46" customWidth="1"/>
    <col min="13" max="13" width="8.33203125" style="1" customWidth="1"/>
    <col min="14" max="14" width="16.6640625" style="1" customWidth="1"/>
    <col min="15" max="15" width="20.33203125" customWidth="1"/>
    <col min="16" max="16" width="3.6640625" style="39" customWidth="1"/>
    <col min="17" max="17" width="11.88671875" bestFit="1" customWidth="1"/>
    <col min="18" max="18" width="10.21875" bestFit="1" customWidth="1"/>
    <col min="22" max="22" width="8.6640625" customWidth="1"/>
    <col min="23" max="23" width="8.77734375"/>
    <col min="26" max="26" width="17.88671875" style="46" customWidth="1"/>
    <col min="27" max="27" width="15.109375" style="46" customWidth="1"/>
    <col min="28" max="28" width="8.33203125" style="1" customWidth="1"/>
    <col min="29" max="29" width="16.6640625" style="1" customWidth="1"/>
    <col min="30" max="30" width="20.33203125" customWidth="1"/>
  </cols>
  <sheetData>
    <row r="1" spans="1:30" s="39" customFormat="1" x14ac:dyDescent="0.35">
      <c r="B1" s="58" t="s">
        <v>0</v>
      </c>
      <c r="C1" s="58"/>
      <c r="D1" s="58"/>
      <c r="E1" s="58"/>
      <c r="F1" s="40"/>
      <c r="G1" s="40"/>
      <c r="H1" s="40"/>
      <c r="I1" s="40"/>
      <c r="J1" s="40"/>
      <c r="K1" s="40"/>
      <c r="L1" s="40"/>
      <c r="M1" s="42"/>
      <c r="N1" s="42"/>
      <c r="Q1" s="58" t="s">
        <v>1</v>
      </c>
      <c r="R1" s="58"/>
      <c r="S1" s="58"/>
      <c r="T1" s="58"/>
      <c r="Z1" s="40"/>
      <c r="AA1" s="40"/>
      <c r="AB1" s="42"/>
      <c r="AC1" s="42"/>
    </row>
    <row r="2" spans="1:30" s="60" customFormat="1" ht="31.2" customHeight="1" x14ac:dyDescent="0.35">
      <c r="B2" s="66" t="s">
        <v>44</v>
      </c>
      <c r="C2" s="67"/>
      <c r="D2" s="67"/>
      <c r="E2" s="67"/>
      <c r="F2" s="67"/>
      <c r="G2" s="62"/>
      <c r="H2" s="62"/>
      <c r="I2" s="62"/>
      <c r="J2" s="62"/>
      <c r="K2" s="65" t="s">
        <v>43</v>
      </c>
      <c r="L2" s="64"/>
      <c r="M2" s="64"/>
      <c r="N2" s="63"/>
      <c r="Q2" s="61"/>
      <c r="R2" s="61"/>
      <c r="S2" s="61"/>
      <c r="T2" s="61"/>
      <c r="Z2" s="62"/>
      <c r="AA2" s="62"/>
      <c r="AB2" s="63"/>
      <c r="AC2" s="63"/>
    </row>
    <row r="3" spans="1:30" x14ac:dyDescent="0.35">
      <c r="B3" s="2" t="s">
        <v>2</v>
      </c>
      <c r="C3" s="2" t="s">
        <v>3</v>
      </c>
      <c r="D3" s="2" t="s">
        <v>4</v>
      </c>
      <c r="E3" s="2" t="s">
        <v>5</v>
      </c>
      <c r="F3" s="3" t="s">
        <v>6</v>
      </c>
      <c r="G3" s="3"/>
      <c r="H3" s="34"/>
      <c r="I3" s="23" t="s">
        <v>17</v>
      </c>
      <c r="J3" s="20"/>
      <c r="K3" s="45" t="s">
        <v>28</v>
      </c>
      <c r="L3" s="52" t="s">
        <v>27</v>
      </c>
      <c r="M3" s="41" t="s">
        <v>42</v>
      </c>
      <c r="N3" s="20"/>
      <c r="Q3" s="2" t="s">
        <v>2</v>
      </c>
      <c r="R3" s="2" t="s">
        <v>3</v>
      </c>
      <c r="S3" s="2" t="s">
        <v>4</v>
      </c>
      <c r="T3" s="2" t="s">
        <v>5</v>
      </c>
      <c r="U3" s="3" t="s">
        <v>6</v>
      </c>
      <c r="V3" s="3"/>
      <c r="W3" s="34"/>
      <c r="X3" s="23" t="s">
        <v>17</v>
      </c>
      <c r="Y3" s="20"/>
      <c r="Z3" s="45" t="s">
        <v>28</v>
      </c>
      <c r="AA3" s="52" t="s">
        <v>27</v>
      </c>
      <c r="AB3" s="41" t="s">
        <v>42</v>
      </c>
      <c r="AC3" s="20"/>
    </row>
    <row r="4" spans="1:30" ht="21.45" customHeight="1" x14ac:dyDescent="0.35">
      <c r="A4" s="4" t="s">
        <v>7</v>
      </c>
      <c r="B4" s="5">
        <v>29</v>
      </c>
      <c r="C4" s="5">
        <v>2326</v>
      </c>
      <c r="D4" s="5">
        <v>64</v>
      </c>
      <c r="E4" s="5">
        <v>152</v>
      </c>
      <c r="F4" s="1">
        <f>SUM(B4:E4)</f>
        <v>2571</v>
      </c>
      <c r="I4" s="24">
        <f>SUM(B4:C4)</f>
        <v>2355</v>
      </c>
      <c r="J4" s="24"/>
      <c r="K4" s="45">
        <f>B4+D4</f>
        <v>93</v>
      </c>
      <c r="L4" s="45">
        <f>B4</f>
        <v>29</v>
      </c>
      <c r="M4" s="50">
        <f>L4/K4</f>
        <v>0.31182795698924731</v>
      </c>
      <c r="N4" s="24"/>
      <c r="O4" s="11"/>
      <c r="Q4" s="5">
        <v>33</v>
      </c>
      <c r="R4" s="5">
        <v>1111</v>
      </c>
      <c r="S4" s="5">
        <v>57</v>
      </c>
      <c r="T4" s="5">
        <v>130</v>
      </c>
      <c r="U4" s="1">
        <f>SUM(Q4:T4)</f>
        <v>1331</v>
      </c>
      <c r="X4" s="9">
        <f>SUM(Q4:R4)</f>
        <v>1144</v>
      </c>
      <c r="Z4" s="45">
        <f>Q4+S4</f>
        <v>90</v>
      </c>
      <c r="AA4" s="45">
        <f>Q4</f>
        <v>33</v>
      </c>
      <c r="AB4" s="50">
        <f>AA4/Z4</f>
        <v>0.36666666666666664</v>
      </c>
      <c r="AC4" s="24"/>
      <c r="AD4" s="11"/>
    </row>
    <row r="5" spans="1:30" ht="21.45" customHeight="1" x14ac:dyDescent="0.35">
      <c r="A5" s="4"/>
      <c r="B5" s="5"/>
      <c r="C5" s="5"/>
      <c r="D5" s="5"/>
      <c r="E5" s="5"/>
      <c r="I5" s="24"/>
      <c r="J5" s="24"/>
      <c r="K5" s="45">
        <f>C4+E4</f>
        <v>2478</v>
      </c>
      <c r="L5" s="45">
        <f>E4</f>
        <v>152</v>
      </c>
      <c r="M5" s="25">
        <f>L5/K5</f>
        <v>6.1339790153349477E-2</v>
      </c>
      <c r="N5" s="50"/>
      <c r="O5" s="11"/>
      <c r="Q5" s="5"/>
      <c r="R5" s="5"/>
      <c r="S5" s="5"/>
      <c r="T5" s="5"/>
      <c r="U5" s="1"/>
      <c r="X5" s="9"/>
      <c r="Z5" s="45">
        <f>R4+T4</f>
        <v>1241</v>
      </c>
      <c r="AA5" s="45">
        <f>T4</f>
        <v>130</v>
      </c>
      <c r="AB5" s="25">
        <f>AA5/Z5</f>
        <v>0.10475423045930701</v>
      </c>
      <c r="AC5" s="50"/>
      <c r="AD5" s="11"/>
    </row>
    <row r="6" spans="1:30" s="79" customFormat="1" ht="62.4" customHeight="1" x14ac:dyDescent="0.35">
      <c r="A6" s="68"/>
      <c r="B6" s="69" t="s">
        <v>45</v>
      </c>
      <c r="C6" s="70"/>
      <c r="D6" s="70"/>
      <c r="E6" s="70"/>
      <c r="F6" s="70"/>
      <c r="G6" s="71"/>
      <c r="H6" s="71"/>
      <c r="I6" s="72"/>
      <c r="J6" s="72"/>
      <c r="K6" s="73" t="s">
        <v>46</v>
      </c>
      <c r="L6" s="74"/>
      <c r="M6" s="74"/>
      <c r="N6" s="75"/>
      <c r="O6" s="76"/>
      <c r="P6" s="77"/>
      <c r="Q6" s="78"/>
      <c r="R6" s="78"/>
      <c r="S6" s="78"/>
      <c r="T6" s="78"/>
      <c r="U6" s="71"/>
      <c r="X6" s="80"/>
      <c r="Z6" s="81"/>
      <c r="AA6" s="81"/>
      <c r="AB6" s="82"/>
      <c r="AC6" s="75"/>
      <c r="AD6" s="76"/>
    </row>
    <row r="7" spans="1:30" ht="12.6" customHeight="1" x14ac:dyDescent="0.35">
      <c r="A7" s="4"/>
      <c r="B7" s="5"/>
      <c r="C7" s="5"/>
      <c r="D7" s="5"/>
      <c r="E7" s="5"/>
      <c r="I7" s="24"/>
      <c r="J7" s="24"/>
      <c r="K7" s="45"/>
      <c r="L7" s="45"/>
      <c r="M7" s="24"/>
      <c r="N7" s="24"/>
      <c r="O7" s="11"/>
      <c r="Q7" s="5"/>
      <c r="R7" s="5"/>
      <c r="S7" s="5"/>
      <c r="T7" s="5"/>
      <c r="U7" s="1"/>
      <c r="X7" s="9"/>
      <c r="Z7" s="45"/>
      <c r="AA7" s="45"/>
      <c r="AB7" s="24"/>
      <c r="AC7" s="24"/>
      <c r="AD7" s="11"/>
    </row>
    <row r="8" spans="1:30" ht="16.8" customHeight="1" x14ac:dyDescent="0.35">
      <c r="A8" s="4"/>
      <c r="B8" s="59" t="s">
        <v>21</v>
      </c>
      <c r="C8" s="59"/>
      <c r="D8" s="59"/>
      <c r="E8" s="59"/>
      <c r="F8" s="3" t="s">
        <v>24</v>
      </c>
      <c r="G8" s="3" t="s">
        <v>23</v>
      </c>
      <c r="H8" s="13" t="s">
        <v>18</v>
      </c>
      <c r="I8" s="3" t="s">
        <v>17</v>
      </c>
      <c r="J8" s="3" t="s">
        <v>19</v>
      </c>
      <c r="K8" s="52" t="s">
        <v>26</v>
      </c>
      <c r="L8" s="52" t="s">
        <v>27</v>
      </c>
      <c r="M8" s="43"/>
      <c r="N8" s="43"/>
      <c r="O8" s="11"/>
      <c r="Q8" s="59" t="s">
        <v>21</v>
      </c>
      <c r="R8" s="59"/>
      <c r="S8" s="59"/>
      <c r="T8" s="59"/>
      <c r="U8" s="3" t="s">
        <v>24</v>
      </c>
      <c r="V8" s="3" t="s">
        <v>23</v>
      </c>
      <c r="W8" s="13" t="s">
        <v>18</v>
      </c>
      <c r="X8" s="3" t="s">
        <v>17</v>
      </c>
      <c r="Y8" s="3" t="s">
        <v>19</v>
      </c>
      <c r="Z8" s="52" t="s">
        <v>26</v>
      </c>
      <c r="AA8" s="52"/>
      <c r="AB8" s="43"/>
      <c r="AC8" s="43"/>
      <c r="AD8" s="11"/>
    </row>
    <row r="9" spans="1:30" x14ac:dyDescent="0.35">
      <c r="A9" s="6" t="s">
        <v>8</v>
      </c>
      <c r="K9" s="46" t="s">
        <v>31</v>
      </c>
      <c r="L9" s="52" t="s">
        <v>32</v>
      </c>
      <c r="M9" s="41" t="s">
        <v>42</v>
      </c>
      <c r="N9" s="41"/>
      <c r="Z9" s="46" t="s">
        <v>31</v>
      </c>
      <c r="AA9" s="52" t="s">
        <v>32</v>
      </c>
      <c r="AB9" s="41" t="s">
        <v>42</v>
      </c>
      <c r="AC9" s="41"/>
    </row>
    <row r="10" spans="1:30" x14ac:dyDescent="0.35">
      <c r="A10" t="s">
        <v>9</v>
      </c>
      <c r="B10" s="12">
        <v>10.14</v>
      </c>
      <c r="C10" s="12">
        <v>2140</v>
      </c>
      <c r="D10" s="7">
        <v>13</v>
      </c>
      <c r="E10" s="7">
        <v>106</v>
      </c>
      <c r="F10" s="8">
        <f>SUM(B10:E10)</f>
        <v>2269.14</v>
      </c>
      <c r="G10" s="17">
        <f>F10/F4</f>
        <v>0.88259043173862306</v>
      </c>
      <c r="H10" s="35">
        <f>I10/F10</f>
        <v>0.94755722432287126</v>
      </c>
      <c r="I10" s="24">
        <f>SUM(B10:C10)</f>
        <v>2150.14</v>
      </c>
      <c r="J10" s="25">
        <f>I10/I4</f>
        <v>0.91301061571125264</v>
      </c>
      <c r="K10" s="48">
        <f>B10+D10</f>
        <v>23.14</v>
      </c>
      <c r="L10" s="48">
        <f>B10</f>
        <v>10.14</v>
      </c>
      <c r="M10" s="50">
        <f>L10/K10</f>
        <v>0.43820224719101125</v>
      </c>
      <c r="N10" s="50"/>
      <c r="Q10" s="12">
        <v>6</v>
      </c>
      <c r="R10" s="12">
        <v>893</v>
      </c>
      <c r="S10" s="7">
        <v>6</v>
      </c>
      <c r="T10" s="7">
        <v>62</v>
      </c>
      <c r="U10" s="8">
        <f>SUM(Q10:T10)</f>
        <v>967</v>
      </c>
      <c r="V10" s="17">
        <f>U10/U4</f>
        <v>0.72652141247182567</v>
      </c>
      <c r="W10" s="33">
        <f>X10/U10</f>
        <v>0.92967942088934852</v>
      </c>
      <c r="X10" s="9">
        <f>SUM(Q10:R10)</f>
        <v>899</v>
      </c>
      <c r="Y10" s="30">
        <f>X10/X4</f>
        <v>0.78583916083916083</v>
      </c>
      <c r="Z10" s="48">
        <f>Q10+S10</f>
        <v>12</v>
      </c>
      <c r="AA10" s="48">
        <f>Q10</f>
        <v>6</v>
      </c>
      <c r="AB10" s="50">
        <f>AA10/Z10</f>
        <v>0.5</v>
      </c>
      <c r="AC10" s="50"/>
    </row>
    <row r="11" spans="1:30" x14ac:dyDescent="0.35">
      <c r="A11" t="s">
        <v>10</v>
      </c>
      <c r="B11" s="12">
        <v>21.18</v>
      </c>
      <c r="C11" s="12">
        <v>2299</v>
      </c>
      <c r="D11" s="7">
        <v>45</v>
      </c>
      <c r="E11" s="7">
        <v>140</v>
      </c>
      <c r="F11" s="8">
        <f>SUM(B11:E11)</f>
        <v>2505.1799999999998</v>
      </c>
      <c r="G11" s="17">
        <f>F11/F4</f>
        <v>0.9743990665110851</v>
      </c>
      <c r="H11" s="35">
        <f>I11/F11</f>
        <v>0.92615301096128821</v>
      </c>
      <c r="I11" s="22">
        <f>SUM(B11:C11)</f>
        <v>2320.1799999999998</v>
      </c>
      <c r="J11" s="25">
        <f>I11/I4</f>
        <v>0.98521443736730352</v>
      </c>
      <c r="K11" s="48">
        <f>B11+D11</f>
        <v>66.180000000000007</v>
      </c>
      <c r="L11" s="48">
        <f>B11</f>
        <v>21.18</v>
      </c>
      <c r="M11" s="50">
        <f>L11/K11</f>
        <v>0.32003626473254754</v>
      </c>
      <c r="N11" s="50"/>
      <c r="Q11" s="12">
        <v>15</v>
      </c>
      <c r="R11" s="12">
        <v>1076</v>
      </c>
      <c r="S11" s="7">
        <v>21</v>
      </c>
      <c r="T11" s="7">
        <v>115</v>
      </c>
      <c r="U11" s="8">
        <f>SUM(Q11:T11)</f>
        <v>1227</v>
      </c>
      <c r="V11" s="17">
        <f>U11/U4</f>
        <v>0.92186326070623592</v>
      </c>
      <c r="W11" s="33">
        <f>X11/U11</f>
        <v>0.88916055419722906</v>
      </c>
      <c r="X11" s="9">
        <f>SUM(Q11:R11)</f>
        <v>1091</v>
      </c>
      <c r="Y11" s="30">
        <f>X11/X4</f>
        <v>0.95367132867132864</v>
      </c>
      <c r="Z11" s="48">
        <f>Q11+S11</f>
        <v>36</v>
      </c>
      <c r="AA11" s="48">
        <f>Q11</f>
        <v>15</v>
      </c>
      <c r="AB11" s="50">
        <f>AA11/Z11</f>
        <v>0.41666666666666669</v>
      </c>
      <c r="AC11" s="50"/>
    </row>
    <row r="12" spans="1:30" x14ac:dyDescent="0.35">
      <c r="A12" t="s">
        <v>11</v>
      </c>
      <c r="B12" s="12">
        <v>11.33</v>
      </c>
      <c r="C12" s="12">
        <v>2173</v>
      </c>
      <c r="D12" s="7">
        <v>18</v>
      </c>
      <c r="E12" s="7">
        <v>111</v>
      </c>
      <c r="F12" s="8">
        <f>SUM(B12:E12)</f>
        <v>2313.33</v>
      </c>
      <c r="G12" s="17">
        <f>F12/F4</f>
        <v>0.89977829638273044</v>
      </c>
      <c r="H12" s="35">
        <f>I12/F12</f>
        <v>0.94423623088794073</v>
      </c>
      <c r="I12" s="22">
        <f>SUM(B12:C12)</f>
        <v>2184.33</v>
      </c>
      <c r="J12" s="25">
        <f>I12/I4</f>
        <v>0.92752866242038212</v>
      </c>
      <c r="K12" s="48">
        <f>B12+D12</f>
        <v>29.33</v>
      </c>
      <c r="L12" s="48">
        <f>B12</f>
        <v>11.33</v>
      </c>
      <c r="M12" s="50">
        <f>L12/K12</f>
        <v>0.38629389703375389</v>
      </c>
      <c r="N12" s="50"/>
      <c r="Q12" s="12">
        <v>25</v>
      </c>
      <c r="R12" s="12">
        <v>1101</v>
      </c>
      <c r="S12" s="7">
        <v>43</v>
      </c>
      <c r="T12" s="7">
        <v>129</v>
      </c>
      <c r="U12" s="8">
        <f>SUM(Q12:T12)</f>
        <v>1298</v>
      </c>
      <c r="V12" s="17">
        <f>U12/U4</f>
        <v>0.97520661157024791</v>
      </c>
      <c r="W12" s="33">
        <f>X12/U12</f>
        <v>0.86748844375963019</v>
      </c>
      <c r="X12" s="9">
        <f>SUM(Q12:R12)</f>
        <v>1126</v>
      </c>
      <c r="Y12" s="30">
        <f>X12/X4</f>
        <v>0.98426573426573427</v>
      </c>
      <c r="Z12" s="48">
        <f>Q12+S12</f>
        <v>68</v>
      </c>
      <c r="AA12" s="48">
        <f>Q12</f>
        <v>25</v>
      </c>
      <c r="AB12" s="50">
        <f>AA12/Z12</f>
        <v>0.36764705882352944</v>
      </c>
      <c r="AC12" s="50"/>
    </row>
    <row r="13" spans="1:30" x14ac:dyDescent="0.35">
      <c r="F13" s="8"/>
      <c r="G13" s="8"/>
      <c r="H13" s="8"/>
      <c r="I13" s="3" t="s">
        <v>20</v>
      </c>
      <c r="J13" s="8"/>
      <c r="K13" s="47"/>
      <c r="L13" s="47"/>
      <c r="M13" s="8"/>
      <c r="N13" s="8"/>
      <c r="Q13" s="9"/>
      <c r="R13" s="9"/>
      <c r="S13" s="9"/>
      <c r="T13" s="9"/>
      <c r="U13" s="9"/>
      <c r="X13" s="3" t="s">
        <v>20</v>
      </c>
      <c r="Z13" s="47"/>
      <c r="AA13" s="47"/>
      <c r="AB13" s="8"/>
      <c r="AC13" s="8"/>
    </row>
    <row r="14" spans="1:30" x14ac:dyDescent="0.35">
      <c r="B14" s="57" t="s">
        <v>22</v>
      </c>
      <c r="C14" s="57"/>
      <c r="D14" s="57"/>
      <c r="E14" s="57"/>
      <c r="F14" s="8"/>
      <c r="G14" s="8"/>
      <c r="H14" s="8"/>
      <c r="I14" s="8">
        <f>SUM(D4:E4)</f>
        <v>216</v>
      </c>
      <c r="J14" s="8"/>
      <c r="K14" s="48" t="s">
        <v>25</v>
      </c>
      <c r="L14" s="48"/>
      <c r="M14" s="8"/>
      <c r="N14" s="8"/>
      <c r="Q14" s="57" t="s">
        <v>22</v>
      </c>
      <c r="R14" s="57"/>
      <c r="S14" s="57"/>
      <c r="T14" s="57"/>
      <c r="U14" s="9"/>
      <c r="X14" s="9">
        <f>SUM(S4:T4)</f>
        <v>187</v>
      </c>
      <c r="Z14" s="48" t="s">
        <v>25</v>
      </c>
      <c r="AA14" s="48"/>
      <c r="AB14" s="8"/>
      <c r="AC14" s="8"/>
    </row>
    <row r="15" spans="1:30" x14ac:dyDescent="0.35">
      <c r="B15" s="31"/>
      <c r="C15" s="31"/>
      <c r="D15" s="31"/>
      <c r="E15" s="31"/>
      <c r="F15" s="8"/>
      <c r="G15" s="8"/>
      <c r="H15" s="8"/>
      <c r="I15" s="8"/>
      <c r="J15" s="8"/>
      <c r="K15" s="46" t="s">
        <v>31</v>
      </c>
      <c r="L15" s="52" t="s">
        <v>32</v>
      </c>
      <c r="M15" s="41" t="s">
        <v>42</v>
      </c>
      <c r="N15" s="53" t="s">
        <v>30</v>
      </c>
      <c r="O15" s="11" t="s">
        <v>29</v>
      </c>
      <c r="Q15" s="31"/>
      <c r="R15" s="31"/>
      <c r="S15" s="31"/>
      <c r="T15" s="31"/>
      <c r="U15" s="9"/>
      <c r="X15" s="9"/>
      <c r="Z15" s="46" t="s">
        <v>31</v>
      </c>
      <c r="AA15" s="52" t="s">
        <v>32</v>
      </c>
      <c r="AB15" s="41" t="s">
        <v>42</v>
      </c>
      <c r="AC15" s="53" t="s">
        <v>30</v>
      </c>
      <c r="AD15" s="11" t="s">
        <v>29</v>
      </c>
    </row>
    <row r="16" spans="1:30" x14ac:dyDescent="0.35">
      <c r="A16" t="s">
        <v>9</v>
      </c>
      <c r="B16" s="7">
        <f>B4-B10</f>
        <v>18.86</v>
      </c>
      <c r="C16" s="7">
        <f>C4-C10</f>
        <v>186</v>
      </c>
      <c r="D16" s="12">
        <f>D4-D10</f>
        <v>51</v>
      </c>
      <c r="E16" s="12">
        <f>E4-E10</f>
        <v>46</v>
      </c>
      <c r="F16" s="13">
        <f>SUM(B16:E16)</f>
        <v>301.86</v>
      </c>
      <c r="G16" s="16">
        <f>F16/F4</f>
        <v>0.1174095682613769</v>
      </c>
      <c r="H16" s="32">
        <f>I16/F16</f>
        <v>0.3213410190154376</v>
      </c>
      <c r="I16" s="13">
        <f>SUM(D16:E16)</f>
        <v>97</v>
      </c>
      <c r="J16" s="16">
        <f>I16/I14</f>
        <v>0.44907407407407407</v>
      </c>
      <c r="K16" s="26">
        <f>SUM(B16:E16)</f>
        <v>301.86</v>
      </c>
      <c r="L16" s="26">
        <f>B16+E16</f>
        <v>64.86</v>
      </c>
      <c r="M16" s="51">
        <f>L16/K16</f>
        <v>0.21486781951898229</v>
      </c>
      <c r="N16" s="54">
        <f t="shared" ref="N16:O18" si="0">K10+K16</f>
        <v>325</v>
      </c>
      <c r="O16" s="14">
        <f t="shared" si="0"/>
        <v>75</v>
      </c>
      <c r="Q16" s="7">
        <f>Q4-Q10</f>
        <v>27</v>
      </c>
      <c r="R16" s="7">
        <f>R4-R10</f>
        <v>218</v>
      </c>
      <c r="S16" s="12">
        <f>S4-S10</f>
        <v>51</v>
      </c>
      <c r="T16" s="12">
        <f>T4-T10</f>
        <v>68</v>
      </c>
      <c r="U16" s="13">
        <f>SUM(Q16:T16)</f>
        <v>364</v>
      </c>
      <c r="V16" s="30">
        <f>U16/U4</f>
        <v>0.27347858752817428</v>
      </c>
      <c r="W16" s="33">
        <f>X16/U16</f>
        <v>0.32692307692307693</v>
      </c>
      <c r="X16" s="9">
        <f>SUM(S16:T16)</f>
        <v>119</v>
      </c>
      <c r="Y16" s="30">
        <f>X16/X14</f>
        <v>0.63636363636363635</v>
      </c>
      <c r="Z16" s="26">
        <f>SUM(Q16:T16)</f>
        <v>364</v>
      </c>
      <c r="AA16" s="26">
        <f>Q16+T16</f>
        <v>95</v>
      </c>
      <c r="AB16" s="51">
        <f>AA16/Z16</f>
        <v>0.26098901098901101</v>
      </c>
      <c r="AC16" s="54">
        <f t="shared" ref="AC16:AD18" si="1">Z10+Z16</f>
        <v>376</v>
      </c>
      <c r="AD16" s="14">
        <f t="shared" si="1"/>
        <v>101</v>
      </c>
    </row>
    <row r="17" spans="1:30" x14ac:dyDescent="0.35">
      <c r="A17" t="s">
        <v>10</v>
      </c>
      <c r="B17" s="7">
        <f>B4-B11</f>
        <v>7.82</v>
      </c>
      <c r="C17" s="7">
        <f>C4-C11</f>
        <v>27</v>
      </c>
      <c r="D17" s="12">
        <f>D4-D11</f>
        <v>19</v>
      </c>
      <c r="E17" s="12">
        <f>E4-E11</f>
        <v>12</v>
      </c>
      <c r="F17" s="13">
        <f>SUM(B17:E17)</f>
        <v>65.819999999999993</v>
      </c>
      <c r="G17" s="16">
        <f>F17/F4</f>
        <v>2.5600933488914818E-2</v>
      </c>
      <c r="H17" s="32">
        <f>I17/F17</f>
        <v>0.47098146460042545</v>
      </c>
      <c r="I17" s="13">
        <f>SUM(D17:E17)</f>
        <v>31</v>
      </c>
      <c r="J17" s="16">
        <f>I17/I14</f>
        <v>0.14351851851851852</v>
      </c>
      <c r="K17" s="26">
        <f>SUM(B17:E17)</f>
        <v>65.819999999999993</v>
      </c>
      <c r="L17" s="26">
        <f>B17+E17</f>
        <v>19.82</v>
      </c>
      <c r="M17" s="51">
        <f>L17/K17</f>
        <v>0.30112427833485267</v>
      </c>
      <c r="N17" s="54">
        <f t="shared" si="0"/>
        <v>132</v>
      </c>
      <c r="O17" s="14">
        <f t="shared" si="0"/>
        <v>41</v>
      </c>
      <c r="Q17" s="7">
        <f>Q4-Q11</f>
        <v>18</v>
      </c>
      <c r="R17" s="7">
        <f>R4-R11</f>
        <v>35</v>
      </c>
      <c r="S17" s="12">
        <f>S4-S11</f>
        <v>36</v>
      </c>
      <c r="T17" s="12">
        <f>T4-T11</f>
        <v>15</v>
      </c>
      <c r="U17" s="13">
        <f>SUM(Q17:T17)</f>
        <v>104</v>
      </c>
      <c r="V17" s="30">
        <f>U17/U4</f>
        <v>7.8136739293764093E-2</v>
      </c>
      <c r="W17" s="33">
        <f>X17/U17</f>
        <v>0.49038461538461536</v>
      </c>
      <c r="X17" s="9">
        <f>SUM(S17:T17)</f>
        <v>51</v>
      </c>
      <c r="Y17" s="30">
        <f>X17/X14</f>
        <v>0.27272727272727271</v>
      </c>
      <c r="Z17" s="26">
        <f>SUM(Q17:T17)</f>
        <v>104</v>
      </c>
      <c r="AA17" s="26">
        <f>Q17+T17</f>
        <v>33</v>
      </c>
      <c r="AB17" s="51">
        <f>AA17/Z17</f>
        <v>0.31730769230769229</v>
      </c>
      <c r="AC17" s="54">
        <f t="shared" si="1"/>
        <v>140</v>
      </c>
      <c r="AD17" s="14">
        <f t="shared" si="1"/>
        <v>48</v>
      </c>
    </row>
    <row r="18" spans="1:30" x14ac:dyDescent="0.35">
      <c r="A18" t="s">
        <v>15</v>
      </c>
      <c r="B18" s="7">
        <f>B4-B12</f>
        <v>17.670000000000002</v>
      </c>
      <c r="C18" s="7">
        <f>C4-C12</f>
        <v>153</v>
      </c>
      <c r="D18" s="12">
        <f>D4-D12</f>
        <v>46</v>
      </c>
      <c r="E18" s="12">
        <f>E4-E12</f>
        <v>41</v>
      </c>
      <c r="F18" s="13">
        <f>SUM(B18:E18)</f>
        <v>257.67</v>
      </c>
      <c r="G18" s="16">
        <f>F18/F4</f>
        <v>0.10022170361726955</v>
      </c>
      <c r="H18" s="32">
        <f>I18/F18</f>
        <v>0.33764116893701246</v>
      </c>
      <c r="I18" s="13">
        <f>SUM(D18:E18)</f>
        <v>87</v>
      </c>
      <c r="J18" s="16">
        <f>I18/I14</f>
        <v>0.40277777777777779</v>
      </c>
      <c r="K18" s="26">
        <f>SUM(B18:E18)</f>
        <v>257.67</v>
      </c>
      <c r="L18" s="26">
        <f>B18+E18</f>
        <v>58.67</v>
      </c>
      <c r="M18" s="51">
        <f>L18/K18</f>
        <v>0.22769433771878758</v>
      </c>
      <c r="N18" s="54">
        <f t="shared" si="0"/>
        <v>287</v>
      </c>
      <c r="O18" s="14">
        <f t="shared" si="0"/>
        <v>70</v>
      </c>
      <c r="Q18" s="7">
        <f>Q4-Q12</f>
        <v>8</v>
      </c>
      <c r="R18" s="7">
        <f>R4-R12</f>
        <v>10</v>
      </c>
      <c r="S18" s="12">
        <f>S4-S12</f>
        <v>14</v>
      </c>
      <c r="T18" s="12">
        <f>T4-T12</f>
        <v>1</v>
      </c>
      <c r="U18" s="13">
        <f>SUM(Q18:T18)</f>
        <v>33</v>
      </c>
      <c r="V18" s="30">
        <f>U18/U4</f>
        <v>2.4793388429752067E-2</v>
      </c>
      <c r="W18" s="33">
        <f>X18/U18</f>
        <v>0.45454545454545453</v>
      </c>
      <c r="X18" s="9">
        <f>SUM(S18:T18)</f>
        <v>15</v>
      </c>
      <c r="Y18" s="30">
        <f>X18/X14</f>
        <v>8.0213903743315509E-2</v>
      </c>
      <c r="Z18" s="26">
        <f>SUM(Q18:T18)</f>
        <v>33</v>
      </c>
      <c r="AA18" s="26">
        <f>Q18+T18</f>
        <v>9</v>
      </c>
      <c r="AB18" s="51">
        <f>AA18/Z18</f>
        <v>0.27272727272727271</v>
      </c>
      <c r="AC18" s="54">
        <f t="shared" si="1"/>
        <v>101</v>
      </c>
      <c r="AD18" s="14">
        <f t="shared" si="1"/>
        <v>34</v>
      </c>
    </row>
    <row r="19" spans="1:30" x14ac:dyDescent="0.35">
      <c r="U19" s="8"/>
      <c r="V19" s="10"/>
      <c r="W19" s="36"/>
    </row>
    <row r="43" spans="6:29" x14ac:dyDescent="0.35">
      <c r="F43"/>
      <c r="G43"/>
      <c r="H43"/>
      <c r="I43"/>
      <c r="J43"/>
      <c r="U43" s="3"/>
      <c r="AC43"/>
    </row>
  </sheetData>
  <mergeCells count="10">
    <mergeCell ref="B1:E1"/>
    <mergeCell ref="Q1:T1"/>
    <mergeCell ref="B8:E8"/>
    <mergeCell ref="B14:E14"/>
    <mergeCell ref="Q8:T8"/>
    <mergeCell ref="Q14:T14"/>
    <mergeCell ref="B2:F2"/>
    <mergeCell ref="K2:M2"/>
    <mergeCell ref="B6:F6"/>
    <mergeCell ref="K6:M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2BE17-239F-4A20-BF85-2D92AD6F2F37}">
  <dimension ref="A1:AD40"/>
  <sheetViews>
    <sheetView workbookViewId="0">
      <selection activeCell="K8" sqref="K8"/>
    </sheetView>
  </sheetViews>
  <sheetFormatPr defaultRowHeight="18" x14ac:dyDescent="0.35"/>
  <cols>
    <col min="2" max="2" width="8.88671875" bestFit="1" customWidth="1"/>
    <col min="3" max="3" width="10.21875" bestFit="1" customWidth="1"/>
    <col min="4" max="4" width="8.88671875" bestFit="1" customWidth="1"/>
    <col min="5" max="5" width="9.21875" bestFit="1" customWidth="1"/>
    <col min="7" max="7" width="12.77734375" customWidth="1"/>
    <col min="8" max="8" width="8.5546875" customWidth="1"/>
    <col min="9" max="9" width="9" bestFit="1" customWidth="1"/>
    <col min="10" max="10" width="9.33203125" customWidth="1"/>
    <col min="11" max="11" width="33.21875" style="46" customWidth="1"/>
    <col min="12" max="12" width="17" style="46" customWidth="1"/>
    <col min="13" max="13" width="8.33203125" style="1" customWidth="1"/>
    <col min="14" max="14" width="16.6640625" style="1" customWidth="1"/>
    <col min="15" max="15" width="20.33203125" customWidth="1"/>
    <col min="16" max="16" width="7.21875" style="39" customWidth="1"/>
    <col min="17" max="17" width="8.77734375" bestFit="1" customWidth="1"/>
    <col min="18" max="18" width="9.21875" bestFit="1" customWidth="1"/>
    <col min="19" max="20" width="8.77734375" bestFit="1" customWidth="1"/>
    <col min="21" max="21" width="9.21875" style="3" bestFit="1" customWidth="1"/>
    <col min="23" max="23" width="8.77734375"/>
    <col min="25" max="25" width="9.109375" customWidth="1"/>
    <col min="26" max="26" width="33.21875" style="46" customWidth="1"/>
    <col min="27" max="27" width="17" style="46" customWidth="1"/>
    <col min="28" max="28" width="8.33203125" style="1" customWidth="1"/>
    <col min="29" max="29" width="12.88671875" customWidth="1"/>
  </cols>
  <sheetData>
    <row r="1" spans="1:30" s="39" customFormat="1" x14ac:dyDescent="0.35">
      <c r="B1" s="58" t="s">
        <v>0</v>
      </c>
      <c r="C1" s="58"/>
      <c r="D1" s="58"/>
      <c r="E1" s="58"/>
      <c r="F1" s="40"/>
      <c r="G1" s="40"/>
      <c r="H1" s="40"/>
      <c r="I1" s="40"/>
      <c r="J1" s="40"/>
      <c r="K1" s="40"/>
      <c r="L1" s="40"/>
      <c r="M1" s="42"/>
      <c r="N1" s="42"/>
      <c r="Q1" s="58" t="s">
        <v>1</v>
      </c>
      <c r="R1" s="58"/>
      <c r="S1" s="58"/>
      <c r="T1" s="58"/>
      <c r="Z1" s="40"/>
      <c r="AA1" s="40"/>
      <c r="AB1" s="42"/>
    </row>
    <row r="2" spans="1:30" x14ac:dyDescent="0.35">
      <c r="B2" s="2" t="s">
        <v>2</v>
      </c>
      <c r="C2" s="2" t="s">
        <v>3</v>
      </c>
      <c r="D2" s="2" t="s">
        <v>4</v>
      </c>
      <c r="E2" s="2" t="s">
        <v>5</v>
      </c>
      <c r="F2" s="3" t="s">
        <v>6</v>
      </c>
      <c r="I2" s="3" t="s">
        <v>16</v>
      </c>
      <c r="K2" s="45" t="s">
        <v>28</v>
      </c>
      <c r="L2" s="52" t="s">
        <v>27</v>
      </c>
      <c r="M2" s="41" t="s">
        <v>42</v>
      </c>
      <c r="N2" s="20"/>
      <c r="Q2" s="2" t="s">
        <v>2</v>
      </c>
      <c r="R2" s="2" t="s">
        <v>3</v>
      </c>
      <c r="S2" s="2" t="s">
        <v>4</v>
      </c>
      <c r="T2" s="2" t="s">
        <v>5</v>
      </c>
      <c r="U2" s="3" t="s">
        <v>6</v>
      </c>
      <c r="V2" s="3"/>
      <c r="X2" s="3" t="s">
        <v>16</v>
      </c>
      <c r="Y2" s="3"/>
      <c r="Z2" s="45" t="s">
        <v>28</v>
      </c>
      <c r="AA2" s="52" t="s">
        <v>27</v>
      </c>
      <c r="AB2" s="41" t="s">
        <v>42</v>
      </c>
    </row>
    <row r="3" spans="1:30" s="11" customFormat="1" x14ac:dyDescent="0.35">
      <c r="A3" s="11" t="s">
        <v>12</v>
      </c>
      <c r="B3" s="11">
        <v>25</v>
      </c>
      <c r="C3" s="11">
        <v>4063</v>
      </c>
      <c r="D3" s="11">
        <v>25</v>
      </c>
      <c r="E3" s="11">
        <v>670</v>
      </c>
      <c r="F3" s="13">
        <f>SUM(B3:E3)</f>
        <v>4783</v>
      </c>
      <c r="G3" s="13"/>
      <c r="H3" s="13"/>
      <c r="I3" s="26">
        <f>SUM(B3:C3)</f>
        <v>4088</v>
      </c>
      <c r="J3" s="13"/>
      <c r="K3" s="45">
        <f>B3+D3</f>
        <v>50</v>
      </c>
      <c r="L3" s="45">
        <f>B3</f>
        <v>25</v>
      </c>
      <c r="M3" s="50">
        <f>L3/K3</f>
        <v>0.5</v>
      </c>
      <c r="N3" s="24"/>
      <c r="P3" s="39"/>
      <c r="Q3" s="11">
        <v>201</v>
      </c>
      <c r="R3" s="11">
        <v>3506</v>
      </c>
      <c r="S3" s="11">
        <v>171</v>
      </c>
      <c r="T3" s="11">
        <v>674</v>
      </c>
      <c r="U3" s="3">
        <f>SUM(Q3:T3)</f>
        <v>4552</v>
      </c>
      <c r="V3" s="13"/>
      <c r="X3" s="3">
        <f>SUM(Q3:R3)</f>
        <v>3707</v>
      </c>
      <c r="Z3" s="45">
        <f>Q3+S3</f>
        <v>372</v>
      </c>
      <c r="AA3" s="45">
        <f>Q3</f>
        <v>201</v>
      </c>
      <c r="AB3" s="50">
        <f>AA3/Z3</f>
        <v>0.54032258064516125</v>
      </c>
    </row>
    <row r="4" spans="1:30" s="11" customFormat="1" x14ac:dyDescent="0.35">
      <c r="F4" s="13"/>
      <c r="G4" s="13"/>
      <c r="H4" s="13"/>
      <c r="I4" s="26"/>
      <c r="J4" s="13"/>
      <c r="K4" s="45">
        <f>C3+E3</f>
        <v>4733</v>
      </c>
      <c r="L4" s="45">
        <f>E3</f>
        <v>670</v>
      </c>
      <c r="M4" s="25">
        <f>L4/K4</f>
        <v>0.14155926473695329</v>
      </c>
      <c r="N4" s="50"/>
      <c r="P4" s="39"/>
      <c r="U4" s="3"/>
      <c r="V4" s="13"/>
      <c r="X4" s="3"/>
      <c r="Z4" s="45">
        <f>R3+T3</f>
        <v>4180</v>
      </c>
      <c r="AA4" s="45">
        <f>T3</f>
        <v>674</v>
      </c>
      <c r="AB4" s="25">
        <f>AA4/Z4</f>
        <v>0.16124401913875597</v>
      </c>
    </row>
    <row r="5" spans="1:30" s="11" customFormat="1" x14ac:dyDescent="0.35">
      <c r="F5" s="13"/>
      <c r="G5" s="13"/>
      <c r="H5" s="13"/>
      <c r="I5" s="26"/>
      <c r="J5" s="13"/>
      <c r="N5" s="24"/>
      <c r="P5" s="39"/>
      <c r="U5" s="3"/>
      <c r="V5" s="13"/>
      <c r="X5" s="9"/>
      <c r="Z5" s="45"/>
      <c r="AA5" s="45"/>
      <c r="AB5" s="24"/>
    </row>
    <row r="6" spans="1:30" s="11" customFormat="1" x14ac:dyDescent="0.35">
      <c r="B6" s="59" t="s">
        <v>21</v>
      </c>
      <c r="C6" s="59"/>
      <c r="D6" s="59"/>
      <c r="E6" s="59"/>
      <c r="F6" s="3" t="s">
        <v>24</v>
      </c>
      <c r="G6" s="3" t="s">
        <v>23</v>
      </c>
      <c r="H6" s="13" t="s">
        <v>18</v>
      </c>
      <c r="I6" s="3" t="s">
        <v>17</v>
      </c>
      <c r="J6" s="3" t="s">
        <v>19</v>
      </c>
      <c r="K6" s="52" t="s">
        <v>26</v>
      </c>
      <c r="L6" s="3"/>
      <c r="M6" s="43"/>
      <c r="N6" s="43"/>
      <c r="P6" s="39"/>
      <c r="Q6" s="59" t="s">
        <v>21</v>
      </c>
      <c r="R6" s="59"/>
      <c r="S6" s="59"/>
      <c r="T6" s="59"/>
      <c r="U6" s="3" t="s">
        <v>24</v>
      </c>
      <c r="V6" s="3" t="s">
        <v>23</v>
      </c>
      <c r="W6" s="13" t="s">
        <v>18</v>
      </c>
      <c r="X6" s="3" t="s">
        <v>17</v>
      </c>
      <c r="Y6" s="3" t="s">
        <v>19</v>
      </c>
      <c r="Z6" s="52" t="s">
        <v>26</v>
      </c>
      <c r="AA6" s="3"/>
      <c r="AB6" s="43"/>
    </row>
    <row r="7" spans="1:30" x14ac:dyDescent="0.35">
      <c r="A7" s="6" t="s">
        <v>8</v>
      </c>
      <c r="F7" s="13"/>
      <c r="G7" s="13"/>
      <c r="I7" s="13"/>
      <c r="J7" s="13"/>
      <c r="K7" s="46" t="s">
        <v>31</v>
      </c>
      <c r="L7" s="52" t="s">
        <v>32</v>
      </c>
      <c r="M7" s="41" t="s">
        <v>42</v>
      </c>
      <c r="N7" s="41"/>
      <c r="Y7" s="13"/>
      <c r="Z7" s="46" t="s">
        <v>31</v>
      </c>
      <c r="AA7" s="52" t="s">
        <v>32</v>
      </c>
      <c r="AB7" s="41" t="s">
        <v>42</v>
      </c>
    </row>
    <row r="8" spans="1:30" x14ac:dyDescent="0.35">
      <c r="A8" t="s">
        <v>9</v>
      </c>
      <c r="B8" s="12">
        <v>1</v>
      </c>
      <c r="C8" s="12">
        <v>2454</v>
      </c>
      <c r="D8" s="7">
        <v>2</v>
      </c>
      <c r="E8" s="7">
        <v>249</v>
      </c>
      <c r="F8" s="13">
        <f>SUM(B8:E8)</f>
        <v>2706</v>
      </c>
      <c r="G8" s="16">
        <f>F8/F3</f>
        <v>0.56575371106000416</v>
      </c>
      <c r="H8" s="32">
        <f>I8/F8</f>
        <v>0.9072431633407243</v>
      </c>
      <c r="I8" s="26">
        <f>SUM(B8:C8)</f>
        <v>2455</v>
      </c>
      <c r="J8" s="29">
        <f>I8/I3</f>
        <v>0.60053816046966735</v>
      </c>
      <c r="K8" s="48">
        <f>B8+D8</f>
        <v>3</v>
      </c>
      <c r="L8" s="48">
        <f>B8</f>
        <v>1</v>
      </c>
      <c r="M8" s="50">
        <f>L8/K8</f>
        <v>0.33333333333333331</v>
      </c>
      <c r="N8" s="50"/>
      <c r="Q8" s="12">
        <v>33</v>
      </c>
      <c r="R8" s="12">
        <v>1621</v>
      </c>
      <c r="S8" s="7">
        <v>8</v>
      </c>
      <c r="T8" s="7">
        <v>150</v>
      </c>
      <c r="U8" s="13">
        <f>SUM(Q8:T8)</f>
        <v>1812</v>
      </c>
      <c r="V8" s="16">
        <f>U8/U3</f>
        <v>0.39806678383128297</v>
      </c>
      <c r="W8" s="18">
        <f>X8/U8</f>
        <v>0.91280353200883002</v>
      </c>
      <c r="X8" s="9">
        <f>SUM(Q8:R8)</f>
        <v>1654</v>
      </c>
      <c r="Y8" s="18">
        <f>X8/X3</f>
        <v>0.44618289722147286</v>
      </c>
      <c r="Z8" s="48">
        <f>Q8+S8</f>
        <v>41</v>
      </c>
      <c r="AA8" s="48">
        <f>Q8</f>
        <v>33</v>
      </c>
      <c r="AB8" s="50">
        <f>AA8/Z8</f>
        <v>0.80487804878048785</v>
      </c>
    </row>
    <row r="9" spans="1:30" x14ac:dyDescent="0.35">
      <c r="A9" t="s">
        <v>10</v>
      </c>
      <c r="B9" s="12">
        <v>5</v>
      </c>
      <c r="C9" s="12">
        <v>3553</v>
      </c>
      <c r="D9" s="7">
        <v>5</v>
      </c>
      <c r="E9" s="7">
        <v>486</v>
      </c>
      <c r="F9" s="13">
        <f>SUM(B9:E9)</f>
        <v>4049</v>
      </c>
      <c r="G9" s="16">
        <f>F9/F3</f>
        <v>0.84653982855948151</v>
      </c>
      <c r="H9" s="32">
        <f>I9/F9</f>
        <v>0.87873549024450481</v>
      </c>
      <c r="I9" s="26">
        <f>SUM(B9:C9)</f>
        <v>3558</v>
      </c>
      <c r="J9" s="29">
        <f>I9/I3</f>
        <v>0.87035225048923681</v>
      </c>
      <c r="K9" s="48">
        <f>B9+D9</f>
        <v>10</v>
      </c>
      <c r="L9" s="48">
        <f>B9</f>
        <v>5</v>
      </c>
      <c r="M9" s="50">
        <f>L9/K9</f>
        <v>0.5</v>
      </c>
      <c r="N9" s="50"/>
      <c r="Q9" s="12">
        <v>52</v>
      </c>
      <c r="R9" s="12">
        <v>2415</v>
      </c>
      <c r="S9" s="7">
        <v>22</v>
      </c>
      <c r="T9" s="7">
        <v>283</v>
      </c>
      <c r="U9" s="13">
        <f>SUM(Q9:T9)</f>
        <v>2772</v>
      </c>
      <c r="V9" s="16">
        <f>U9/U3</f>
        <v>0.60896309314586994</v>
      </c>
      <c r="W9" s="18">
        <f>X9/U9</f>
        <v>0.88997113997113997</v>
      </c>
      <c r="X9" s="9">
        <f>SUM(Q9:R9)</f>
        <v>2467</v>
      </c>
      <c r="Y9" s="18">
        <f>X9/X3</f>
        <v>0.66549770704073374</v>
      </c>
      <c r="Z9" s="48">
        <f>Q9+S9</f>
        <v>74</v>
      </c>
      <c r="AA9" s="48">
        <f>Q9</f>
        <v>52</v>
      </c>
      <c r="AB9" s="50">
        <f>AA9/Z9</f>
        <v>0.70270270270270274</v>
      </c>
    </row>
    <row r="10" spans="1:30" x14ac:dyDescent="0.35">
      <c r="A10" t="s">
        <v>11</v>
      </c>
      <c r="B10" s="12">
        <v>15</v>
      </c>
      <c r="C10" s="12">
        <v>4019</v>
      </c>
      <c r="D10" s="7">
        <v>12</v>
      </c>
      <c r="E10" s="7">
        <v>652</v>
      </c>
      <c r="F10" s="13">
        <f>SUM(B10:E10)</f>
        <v>4698</v>
      </c>
      <c r="G10" s="16">
        <f>F10/F3</f>
        <v>0.9822287267405394</v>
      </c>
      <c r="H10" s="32">
        <f>I10/F10</f>
        <v>0.85866326096211154</v>
      </c>
      <c r="I10" s="21">
        <f>SUM(B10:C10)</f>
        <v>4034</v>
      </c>
      <c r="J10" s="29">
        <f>I10/I3</f>
        <v>0.98679060665362039</v>
      </c>
      <c r="K10" s="48">
        <f>B10+D10</f>
        <v>27</v>
      </c>
      <c r="L10" s="48">
        <f>B10</f>
        <v>15</v>
      </c>
      <c r="M10" s="50">
        <f>L10/K10</f>
        <v>0.55555555555555558</v>
      </c>
      <c r="N10" s="50"/>
      <c r="Q10" s="12">
        <v>92</v>
      </c>
      <c r="R10" s="12">
        <v>2958</v>
      </c>
      <c r="S10" s="7">
        <v>44</v>
      </c>
      <c r="T10" s="7">
        <v>435</v>
      </c>
      <c r="U10" s="13">
        <f>SUM(Q10:T10)</f>
        <v>3529</v>
      </c>
      <c r="V10" s="16">
        <f>U10/U3</f>
        <v>0.7752636203866432</v>
      </c>
      <c r="W10" s="18">
        <f>X10/U10</f>
        <v>0.8642674978747521</v>
      </c>
      <c r="X10" s="9">
        <f>SUM(Q10:R10)</f>
        <v>3050</v>
      </c>
      <c r="Y10" s="18">
        <f>X10/X3</f>
        <v>0.82276773671432424</v>
      </c>
      <c r="Z10" s="48">
        <f>Q10+S10</f>
        <v>136</v>
      </c>
      <c r="AA10" s="48">
        <f>Q10</f>
        <v>92</v>
      </c>
      <c r="AB10" s="50">
        <f>AA10/Z10</f>
        <v>0.67647058823529416</v>
      </c>
    </row>
    <row r="11" spans="1:30" x14ac:dyDescent="0.35">
      <c r="B11" s="9"/>
      <c r="C11" s="9"/>
      <c r="D11" s="9"/>
      <c r="E11" s="9"/>
      <c r="F11" s="13"/>
      <c r="G11" s="13"/>
      <c r="H11" s="13"/>
      <c r="I11" s="13"/>
      <c r="J11" s="13"/>
      <c r="K11" s="47"/>
      <c r="L11" s="47"/>
      <c r="M11" s="8"/>
      <c r="N11" s="8"/>
      <c r="Q11" s="19"/>
      <c r="R11" s="9"/>
      <c r="S11" s="9"/>
      <c r="T11" s="9"/>
      <c r="U11" s="13"/>
      <c r="Z11" s="47"/>
      <c r="AA11" s="47"/>
      <c r="AB11" s="8"/>
    </row>
    <row r="12" spans="1:30" x14ac:dyDescent="0.35">
      <c r="B12" s="57" t="s">
        <v>22</v>
      </c>
      <c r="C12" s="57"/>
      <c r="D12" s="57"/>
      <c r="E12" s="57"/>
      <c r="F12" s="13"/>
      <c r="G12" s="13"/>
      <c r="H12" s="13"/>
      <c r="I12" s="3" t="s">
        <v>20</v>
      </c>
      <c r="J12" s="13"/>
      <c r="K12" s="48" t="s">
        <v>25</v>
      </c>
      <c r="L12" s="48"/>
      <c r="M12" s="8"/>
      <c r="N12" s="8"/>
      <c r="Q12" s="57" t="s">
        <v>22</v>
      </c>
      <c r="R12" s="57"/>
      <c r="S12" s="57"/>
      <c r="T12" s="57"/>
      <c r="U12" s="13"/>
      <c r="X12" s="3" t="s">
        <v>20</v>
      </c>
      <c r="Z12" s="48" t="s">
        <v>25</v>
      </c>
      <c r="AA12" s="48"/>
      <c r="AB12" s="8"/>
    </row>
    <row r="13" spans="1:30" x14ac:dyDescent="0.35">
      <c r="A13" s="6" t="s">
        <v>13</v>
      </c>
      <c r="B13" s="9"/>
      <c r="C13" s="9"/>
      <c r="D13" s="9"/>
      <c r="E13" s="9"/>
      <c r="F13" s="13"/>
      <c r="G13" s="13"/>
      <c r="H13" s="13"/>
      <c r="I13" s="13">
        <f>SUM(D3:E3)</f>
        <v>695</v>
      </c>
      <c r="K13" s="46" t="s">
        <v>31</v>
      </c>
      <c r="L13" s="52" t="s">
        <v>32</v>
      </c>
      <c r="M13" s="41" t="s">
        <v>42</v>
      </c>
      <c r="N13" s="53" t="s">
        <v>30</v>
      </c>
      <c r="O13" s="11" t="s">
        <v>29</v>
      </c>
      <c r="Q13" s="9"/>
      <c r="R13" s="9"/>
      <c r="S13" s="9"/>
      <c r="T13" s="9"/>
      <c r="U13" s="13"/>
      <c r="V13" s="13"/>
      <c r="X13">
        <f>SUM(S3:T3)</f>
        <v>845</v>
      </c>
      <c r="Z13" s="46" t="s">
        <v>31</v>
      </c>
      <c r="AA13" s="52" t="s">
        <v>32</v>
      </c>
      <c r="AB13" s="41" t="s">
        <v>42</v>
      </c>
      <c r="AC13" s="53" t="s">
        <v>30</v>
      </c>
      <c r="AD13" s="11" t="s">
        <v>29</v>
      </c>
    </row>
    <row r="14" spans="1:30" x14ac:dyDescent="0.35">
      <c r="A14" t="s">
        <v>9</v>
      </c>
      <c r="B14" s="7">
        <f>B3-B8</f>
        <v>24</v>
      </c>
      <c r="C14" s="7">
        <f>C3-C8</f>
        <v>1609</v>
      </c>
      <c r="D14" s="12">
        <f>D3-D8</f>
        <v>23</v>
      </c>
      <c r="E14" s="12">
        <f>E3-E8</f>
        <v>421</v>
      </c>
      <c r="F14" s="13">
        <f>SUM(B14:E14)</f>
        <v>2077</v>
      </c>
      <c r="G14" s="16">
        <f>F14/F3</f>
        <v>0.43424628893999584</v>
      </c>
      <c r="H14" s="32">
        <f>I14/F14</f>
        <v>0.21376986037554166</v>
      </c>
      <c r="I14" s="13">
        <f>SUM(D14:E14)</f>
        <v>444</v>
      </c>
      <c r="J14" s="16">
        <f>I14/I13</f>
        <v>0.63884892086330936</v>
      </c>
      <c r="K14" s="26">
        <f>SUM(B14:E14)</f>
        <v>2077</v>
      </c>
      <c r="L14" s="26">
        <f>B14+E14</f>
        <v>445</v>
      </c>
      <c r="M14" s="51">
        <f>L14/K14</f>
        <v>0.21425132402503611</v>
      </c>
      <c r="N14" s="54">
        <f t="shared" ref="N14:O16" si="0">K8+K14</f>
        <v>2080</v>
      </c>
      <c r="O14" s="14">
        <f t="shared" si="0"/>
        <v>446</v>
      </c>
      <c r="Q14" s="7">
        <f>Q3-Q8</f>
        <v>168</v>
      </c>
      <c r="R14" s="7">
        <f>R3-R8</f>
        <v>1885</v>
      </c>
      <c r="S14" s="12">
        <f>S3-S8</f>
        <v>163</v>
      </c>
      <c r="T14" s="12">
        <f>T3-T8</f>
        <v>524</v>
      </c>
      <c r="U14" s="13">
        <f>SUM(Q14:T14)</f>
        <v>2740</v>
      </c>
      <c r="V14" s="30">
        <f>U14/U3</f>
        <v>0.60193321616871709</v>
      </c>
      <c r="W14" s="33">
        <f>X14/U14</f>
        <v>0.25072992700729929</v>
      </c>
      <c r="X14" s="9">
        <f>SUM(S14:T14)</f>
        <v>687</v>
      </c>
      <c r="Y14" s="30">
        <f>X14/X13</f>
        <v>0.8130177514792899</v>
      </c>
      <c r="Z14" s="26">
        <f>SUM(Q14:T14)</f>
        <v>2740</v>
      </c>
      <c r="AA14" s="26">
        <f>Q14+T14</f>
        <v>692</v>
      </c>
      <c r="AB14" s="51">
        <f>AA14/Z14</f>
        <v>0.25255474452554744</v>
      </c>
      <c r="AC14" s="54">
        <f t="shared" ref="AC14:AD16" si="1">Z8+Z14</f>
        <v>2781</v>
      </c>
      <c r="AD14" s="14">
        <f t="shared" si="1"/>
        <v>725</v>
      </c>
    </row>
    <row r="15" spans="1:30" x14ac:dyDescent="0.35">
      <c r="A15" t="s">
        <v>10</v>
      </c>
      <c r="B15" s="7">
        <f>B3-B9</f>
        <v>20</v>
      </c>
      <c r="C15" s="7">
        <f>C3-C9</f>
        <v>510</v>
      </c>
      <c r="D15" s="12">
        <f>D3-D9</f>
        <v>20</v>
      </c>
      <c r="E15" s="12">
        <f>E3-E9</f>
        <v>184</v>
      </c>
      <c r="F15" s="13">
        <f>SUM(B15:E15)</f>
        <v>734</v>
      </c>
      <c r="G15" s="16">
        <f>F15/F3</f>
        <v>0.15346017144051852</v>
      </c>
      <c r="H15" s="32">
        <f>I15/F15</f>
        <v>0.27792915531335149</v>
      </c>
      <c r="I15" s="13">
        <f>SUM(D15:E15)</f>
        <v>204</v>
      </c>
      <c r="J15" s="16">
        <f>I15/I13</f>
        <v>0.29352517985611509</v>
      </c>
      <c r="K15" s="26">
        <f>SUM(B15:E15)</f>
        <v>734</v>
      </c>
      <c r="L15" s="26">
        <f>B15+E15</f>
        <v>204</v>
      </c>
      <c r="M15" s="51">
        <f>L15/K15</f>
        <v>0.27792915531335149</v>
      </c>
      <c r="N15" s="54">
        <f t="shared" si="0"/>
        <v>744</v>
      </c>
      <c r="O15" s="14">
        <f t="shared" si="0"/>
        <v>209</v>
      </c>
      <c r="Q15" s="7">
        <f>Q3-Q9</f>
        <v>149</v>
      </c>
      <c r="R15" s="7">
        <f>R3-R9</f>
        <v>1091</v>
      </c>
      <c r="S15" s="12">
        <f>S3-S9</f>
        <v>149</v>
      </c>
      <c r="T15" s="12">
        <f>T3-T9</f>
        <v>391</v>
      </c>
      <c r="U15" s="13">
        <f>SUM(Q15:T15)</f>
        <v>1780</v>
      </c>
      <c r="V15" s="30">
        <f>U15/U3</f>
        <v>0.39103690685413006</v>
      </c>
      <c r="W15" s="33">
        <f>X15/U15</f>
        <v>0.30337078651685395</v>
      </c>
      <c r="X15" s="9">
        <f>SUM(S15:T15)</f>
        <v>540</v>
      </c>
      <c r="Y15" s="30">
        <f>X15/X13</f>
        <v>0.63905325443786987</v>
      </c>
      <c r="Z15" s="26">
        <f>SUM(Q15:T15)</f>
        <v>1780</v>
      </c>
      <c r="AA15" s="26">
        <f>Q15+T15</f>
        <v>540</v>
      </c>
      <c r="AB15" s="51">
        <f>AA15/Z15</f>
        <v>0.30337078651685395</v>
      </c>
      <c r="AC15" s="54">
        <f t="shared" si="1"/>
        <v>1854</v>
      </c>
      <c r="AD15" s="14">
        <f t="shared" si="1"/>
        <v>592</v>
      </c>
    </row>
    <row r="16" spans="1:30" x14ac:dyDescent="0.35">
      <c r="A16" t="s">
        <v>15</v>
      </c>
      <c r="B16" s="7">
        <f>B3-B10</f>
        <v>10</v>
      </c>
      <c r="C16" s="7">
        <f>C3-C10</f>
        <v>44</v>
      </c>
      <c r="D16" s="12">
        <f>D3-D10</f>
        <v>13</v>
      </c>
      <c r="E16" s="12">
        <f>E3-E10</f>
        <v>18</v>
      </c>
      <c r="F16" s="13">
        <f>SUM(B16:E16)</f>
        <v>85</v>
      </c>
      <c r="G16" s="16">
        <f>F16/F3</f>
        <v>1.7771273259460589E-2</v>
      </c>
      <c r="H16" s="32">
        <f>I16/F16</f>
        <v>0.36470588235294116</v>
      </c>
      <c r="I16" s="13">
        <f>SUM(D16:E16)</f>
        <v>31</v>
      </c>
      <c r="J16" s="16">
        <f>I16/I13</f>
        <v>4.4604316546762592E-2</v>
      </c>
      <c r="K16" s="26">
        <f>SUM(B16:E16)</f>
        <v>85</v>
      </c>
      <c r="L16" s="26">
        <f>B16+E16</f>
        <v>28</v>
      </c>
      <c r="M16" s="51">
        <f>L16/K16</f>
        <v>0.32941176470588235</v>
      </c>
      <c r="N16" s="54">
        <f t="shared" si="0"/>
        <v>112</v>
      </c>
      <c r="O16" s="14">
        <f t="shared" si="0"/>
        <v>43</v>
      </c>
      <c r="Q16" s="7">
        <f>Q3-Q10</f>
        <v>109</v>
      </c>
      <c r="R16" s="7">
        <f>R3-R10</f>
        <v>548</v>
      </c>
      <c r="S16" s="12">
        <f>S3-S10</f>
        <v>127</v>
      </c>
      <c r="T16" s="12">
        <f>T3-T10</f>
        <v>239</v>
      </c>
      <c r="U16" s="13">
        <f>SUM(Q16:T16)</f>
        <v>1023</v>
      </c>
      <c r="V16" s="30">
        <f>U16/U3</f>
        <v>0.22473637961335677</v>
      </c>
      <c r="W16" s="33">
        <f>X16/U16</f>
        <v>0.35777126099706746</v>
      </c>
      <c r="X16" s="9">
        <f>SUM(S16:T16)</f>
        <v>366</v>
      </c>
      <c r="Y16" s="30">
        <f>X16/X13</f>
        <v>0.43313609467455622</v>
      </c>
      <c r="Z16" s="26">
        <f>SUM(Q16:T16)</f>
        <v>1023</v>
      </c>
      <c r="AA16" s="26">
        <f>Q16+T16</f>
        <v>348</v>
      </c>
      <c r="AB16" s="51">
        <f>AA16/Z16</f>
        <v>0.34017595307917886</v>
      </c>
      <c r="AC16" s="54">
        <f t="shared" si="1"/>
        <v>1159</v>
      </c>
      <c r="AD16" s="14">
        <f t="shared" si="1"/>
        <v>440</v>
      </c>
    </row>
    <row r="17" spans="2:29" x14ac:dyDescent="0.35">
      <c r="B17" s="9"/>
      <c r="C17" s="9"/>
      <c r="D17" s="9"/>
      <c r="E17" s="9"/>
      <c r="F17" s="13"/>
      <c r="G17" s="16"/>
      <c r="H17" s="32"/>
      <c r="I17" s="13"/>
      <c r="J17" s="16"/>
    </row>
    <row r="20" spans="2:29" x14ac:dyDescent="0.35">
      <c r="U20"/>
      <c r="AC20" s="1"/>
    </row>
    <row r="21" spans="2:29" x14ac:dyDescent="0.35">
      <c r="U21"/>
      <c r="AC21" s="1"/>
    </row>
    <row r="22" spans="2:29" x14ac:dyDescent="0.35">
      <c r="U22"/>
      <c r="AC22" s="1"/>
    </row>
    <row r="23" spans="2:29" x14ac:dyDescent="0.35">
      <c r="U23"/>
      <c r="AC23" s="1"/>
    </row>
    <row r="24" spans="2:29" x14ac:dyDescent="0.35">
      <c r="U24"/>
      <c r="AC24" s="1"/>
    </row>
    <row r="25" spans="2:29" x14ac:dyDescent="0.35">
      <c r="U25"/>
      <c r="AC25" s="1"/>
    </row>
    <row r="26" spans="2:29" x14ac:dyDescent="0.35">
      <c r="U26"/>
      <c r="AC26" s="1"/>
    </row>
    <row r="27" spans="2:29" x14ac:dyDescent="0.35">
      <c r="U27"/>
      <c r="AC27" s="1"/>
    </row>
    <row r="28" spans="2:29" x14ac:dyDescent="0.35">
      <c r="U28"/>
      <c r="AC28" s="1"/>
    </row>
    <row r="29" spans="2:29" x14ac:dyDescent="0.35">
      <c r="U29"/>
      <c r="AC29" s="1"/>
    </row>
    <row r="30" spans="2:29" x14ac:dyDescent="0.35">
      <c r="U30"/>
      <c r="AC30" s="1"/>
    </row>
    <row r="31" spans="2:29" x14ac:dyDescent="0.35">
      <c r="U31"/>
      <c r="AC31" s="1"/>
    </row>
    <row r="32" spans="2:29" x14ac:dyDescent="0.35">
      <c r="U32"/>
      <c r="AC32" s="1"/>
    </row>
    <row r="33" spans="21:29" x14ac:dyDescent="0.35">
      <c r="U33"/>
      <c r="AC33" s="1"/>
    </row>
    <row r="34" spans="21:29" x14ac:dyDescent="0.35">
      <c r="U34"/>
      <c r="AC34" s="1"/>
    </row>
    <row r="35" spans="21:29" x14ac:dyDescent="0.35">
      <c r="U35"/>
      <c r="AC35" s="1"/>
    </row>
    <row r="36" spans="21:29" x14ac:dyDescent="0.35">
      <c r="U36"/>
      <c r="AC36" s="1"/>
    </row>
    <row r="37" spans="21:29" x14ac:dyDescent="0.35">
      <c r="U37"/>
      <c r="AC37" s="1"/>
    </row>
    <row r="38" spans="21:29" x14ac:dyDescent="0.35">
      <c r="U38"/>
      <c r="AC38" s="1"/>
    </row>
    <row r="39" spans="21:29" x14ac:dyDescent="0.35">
      <c r="U39"/>
      <c r="AC39" s="1"/>
    </row>
    <row r="40" spans="21:29" x14ac:dyDescent="0.35">
      <c r="U40"/>
      <c r="AC40" s="1"/>
    </row>
  </sheetData>
  <mergeCells count="6">
    <mergeCell ref="B1:E1"/>
    <mergeCell ref="Q1:T1"/>
    <mergeCell ref="B6:E6"/>
    <mergeCell ref="B12:E12"/>
    <mergeCell ref="Q6:T6"/>
    <mergeCell ref="Q12:T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63B52-C35E-446B-B149-83C7F965D318}">
  <dimension ref="A1:AD20"/>
  <sheetViews>
    <sheetView topLeftCell="A19" workbookViewId="0">
      <selection activeCell="J40" sqref="B19:J40"/>
    </sheetView>
  </sheetViews>
  <sheetFormatPr defaultRowHeight="18" x14ac:dyDescent="0.35"/>
  <cols>
    <col min="7" max="7" width="12.21875" customWidth="1"/>
    <col min="8" max="8" width="8.77734375"/>
    <col min="11" max="11" width="33.21875" style="46" customWidth="1"/>
    <col min="12" max="12" width="17" style="46" customWidth="1"/>
    <col min="13" max="13" width="8.33203125" style="1" customWidth="1"/>
    <col min="14" max="14" width="16.6640625" style="1" customWidth="1"/>
    <col min="15" max="15" width="20.33203125" customWidth="1"/>
    <col min="16" max="16" width="5.21875" style="39" customWidth="1"/>
    <col min="17" max="17" width="8.77734375" bestFit="1" customWidth="1"/>
    <col min="18" max="19" width="9.5546875" bestFit="1" customWidth="1"/>
    <col min="20" max="20" width="8.77734375" bestFit="1" customWidth="1"/>
    <col min="21" max="21" width="9.5546875" bestFit="1" customWidth="1"/>
    <col min="23" max="23" width="8.77734375"/>
    <col min="26" max="26" width="33.21875" style="46" customWidth="1"/>
    <col min="27" max="27" width="17" style="46" customWidth="1"/>
    <col min="28" max="28" width="8.33203125" style="1" customWidth="1"/>
    <col min="29" max="29" width="16.6640625" style="1" customWidth="1"/>
    <col min="30" max="30" width="20.33203125" customWidth="1"/>
  </cols>
  <sheetData>
    <row r="1" spans="1:30" s="39" customFormat="1" x14ac:dyDescent="0.35">
      <c r="B1" s="58" t="s">
        <v>0</v>
      </c>
      <c r="C1" s="58"/>
      <c r="D1" s="58"/>
      <c r="E1" s="58"/>
      <c r="F1" s="40"/>
      <c r="G1" s="40"/>
      <c r="H1" s="40"/>
      <c r="I1" s="40"/>
      <c r="J1" s="40"/>
      <c r="K1" s="40"/>
      <c r="L1" s="40"/>
      <c r="M1" s="42"/>
      <c r="N1" s="42"/>
      <c r="Q1" s="58" t="s">
        <v>1</v>
      </c>
      <c r="R1" s="58"/>
      <c r="S1" s="58"/>
      <c r="T1" s="58"/>
      <c r="Z1" s="40"/>
      <c r="AA1" s="40"/>
      <c r="AB1" s="42"/>
      <c r="AC1" s="42"/>
    </row>
    <row r="2" spans="1:30" x14ac:dyDescent="0.35">
      <c r="B2" s="3" t="s">
        <v>2</v>
      </c>
      <c r="C2" s="3" t="s">
        <v>3</v>
      </c>
      <c r="D2" s="3" t="s">
        <v>4</v>
      </c>
      <c r="E2" s="3" t="s">
        <v>5</v>
      </c>
      <c r="F2" s="3" t="s">
        <v>6</v>
      </c>
      <c r="G2" s="3"/>
      <c r="H2" s="3"/>
      <c r="I2" s="3" t="s">
        <v>16</v>
      </c>
      <c r="J2" s="3"/>
      <c r="K2" s="44"/>
      <c r="L2" s="44"/>
      <c r="M2" s="20"/>
      <c r="N2" s="20"/>
      <c r="Q2" s="2" t="s">
        <v>2</v>
      </c>
      <c r="R2" s="2" t="s">
        <v>3</v>
      </c>
      <c r="S2" s="2" t="s">
        <v>4</v>
      </c>
      <c r="T2" s="2" t="s">
        <v>5</v>
      </c>
      <c r="U2" s="2" t="s">
        <v>6</v>
      </c>
      <c r="V2" s="2"/>
      <c r="W2" s="2"/>
      <c r="X2" s="2" t="s">
        <v>16</v>
      </c>
      <c r="Z2" s="44"/>
      <c r="AA2" s="44"/>
      <c r="AB2" s="20"/>
      <c r="AC2" s="20"/>
    </row>
    <row r="3" spans="1:30" s="11" customFormat="1" x14ac:dyDescent="0.35">
      <c r="A3" s="11" t="s">
        <v>14</v>
      </c>
      <c r="B3" s="3">
        <v>124</v>
      </c>
      <c r="C3" s="3">
        <v>1727</v>
      </c>
      <c r="D3" s="3">
        <v>661</v>
      </c>
      <c r="E3" s="3">
        <v>59</v>
      </c>
      <c r="F3" s="3">
        <f>SUM(B3:E3)</f>
        <v>2571</v>
      </c>
      <c r="G3" s="3"/>
      <c r="H3" s="3"/>
      <c r="I3" s="13">
        <f>SUM(B3:C3)</f>
        <v>1851</v>
      </c>
      <c r="J3" s="14"/>
      <c r="K3" s="45" t="s">
        <v>28</v>
      </c>
      <c r="L3" s="52" t="s">
        <v>27</v>
      </c>
      <c r="M3" s="41" t="s">
        <v>42</v>
      </c>
      <c r="N3" s="24"/>
      <c r="P3" s="39"/>
      <c r="Q3" s="2">
        <v>138.04</v>
      </c>
      <c r="R3" s="2">
        <v>638.75</v>
      </c>
      <c r="S3" s="2">
        <v>529.26</v>
      </c>
      <c r="T3" s="2">
        <v>24.95</v>
      </c>
      <c r="U3" s="2">
        <f>SUM(Q3:T3)</f>
        <v>1331</v>
      </c>
      <c r="V3" s="2"/>
      <c r="W3" s="2"/>
      <c r="X3" s="38">
        <f>SUM(Q3:R3)</f>
        <v>776.79</v>
      </c>
      <c r="Z3" s="45" t="s">
        <v>28</v>
      </c>
      <c r="AA3" s="52" t="s">
        <v>27</v>
      </c>
      <c r="AB3" s="41" t="s">
        <v>42</v>
      </c>
      <c r="AC3" s="24"/>
    </row>
    <row r="4" spans="1:30" s="11" customFormat="1" x14ac:dyDescent="0.35">
      <c r="B4" s="3"/>
      <c r="C4" s="3"/>
      <c r="D4" s="3"/>
      <c r="E4" s="3"/>
      <c r="F4" s="3"/>
      <c r="G4" s="3"/>
      <c r="H4" s="3"/>
      <c r="I4" s="13"/>
      <c r="J4" s="14"/>
      <c r="K4" s="45">
        <f>B3+D3</f>
        <v>785</v>
      </c>
      <c r="L4" s="45">
        <f>B3</f>
        <v>124</v>
      </c>
      <c r="M4" s="50">
        <f>L4/K4</f>
        <v>0.15796178343949044</v>
      </c>
      <c r="N4" s="50"/>
      <c r="P4" s="39"/>
      <c r="Q4" s="2"/>
      <c r="R4" s="2"/>
      <c r="S4" s="2"/>
      <c r="T4" s="2"/>
      <c r="U4" s="2"/>
      <c r="V4" s="2"/>
      <c r="W4" s="2"/>
      <c r="X4" s="38"/>
      <c r="Z4" s="45">
        <f>Q3+S3</f>
        <v>667.3</v>
      </c>
      <c r="AA4" s="45">
        <f>Q3</f>
        <v>138.04</v>
      </c>
      <c r="AB4" s="50">
        <f>AA4/Z4</f>
        <v>0.20686347969429042</v>
      </c>
      <c r="AC4" s="50"/>
    </row>
    <row r="5" spans="1:30" s="11" customFormat="1" x14ac:dyDescent="0.35">
      <c r="B5" s="14"/>
      <c r="C5" s="14"/>
      <c r="D5" s="14"/>
      <c r="E5" s="14"/>
      <c r="F5" s="14"/>
      <c r="G5" s="14"/>
      <c r="H5" s="14"/>
      <c r="I5" s="27"/>
      <c r="J5" s="14"/>
      <c r="K5" s="45">
        <f>C3+E3</f>
        <v>1786</v>
      </c>
      <c r="L5" s="45">
        <f>E3</f>
        <v>59</v>
      </c>
      <c r="M5" s="25">
        <f>L5/K5</f>
        <v>3.3034714445688687E-2</v>
      </c>
      <c r="N5" s="24"/>
      <c r="P5" s="39"/>
      <c r="Q5" s="14"/>
      <c r="R5" s="14"/>
      <c r="S5" s="14"/>
      <c r="T5" s="14"/>
      <c r="U5" s="14"/>
      <c r="X5" s="28"/>
      <c r="Z5" s="45">
        <f>R3+T3</f>
        <v>663.7</v>
      </c>
      <c r="AA5" s="45">
        <f>T3</f>
        <v>24.95</v>
      </c>
      <c r="AB5" s="49">
        <f>AA5/Z5</f>
        <v>3.7592285671237E-2</v>
      </c>
      <c r="AC5" s="24"/>
    </row>
    <row r="6" spans="1:30" s="11" customFormat="1" x14ac:dyDescent="0.35">
      <c r="B6" s="59" t="s">
        <v>21</v>
      </c>
      <c r="C6" s="59"/>
      <c r="D6" s="59"/>
      <c r="E6" s="59"/>
      <c r="F6" s="3" t="s">
        <v>24</v>
      </c>
      <c r="G6" s="3" t="s">
        <v>23</v>
      </c>
      <c r="H6" s="13" t="s">
        <v>18</v>
      </c>
      <c r="I6" s="3" t="s">
        <v>17</v>
      </c>
      <c r="J6" s="3" t="s">
        <v>19</v>
      </c>
      <c r="K6" s="52" t="s">
        <v>26</v>
      </c>
      <c r="L6" s="3"/>
      <c r="M6" s="43"/>
      <c r="N6" s="43"/>
      <c r="P6" s="39"/>
      <c r="Q6" s="59" t="s">
        <v>21</v>
      </c>
      <c r="R6" s="59"/>
      <c r="S6" s="59"/>
      <c r="T6" s="59"/>
      <c r="U6" s="3" t="s">
        <v>24</v>
      </c>
      <c r="V6" s="3" t="s">
        <v>23</v>
      </c>
      <c r="W6" s="13" t="s">
        <v>18</v>
      </c>
      <c r="X6" s="3" t="s">
        <v>17</v>
      </c>
      <c r="Y6" s="3" t="s">
        <v>19</v>
      </c>
      <c r="Z6" s="52" t="s">
        <v>26</v>
      </c>
      <c r="AA6" s="3"/>
      <c r="AB6" s="43"/>
      <c r="AC6" s="43"/>
    </row>
    <row r="7" spans="1:30" x14ac:dyDescent="0.35">
      <c r="A7" s="6" t="s">
        <v>8</v>
      </c>
      <c r="H7" s="20"/>
      <c r="K7" s="46" t="s">
        <v>31</v>
      </c>
      <c r="L7" s="52" t="s">
        <v>32</v>
      </c>
      <c r="M7" s="41" t="s">
        <v>42</v>
      </c>
      <c r="N7" s="41"/>
      <c r="R7" s="9"/>
      <c r="S7" s="9"/>
      <c r="W7" s="20"/>
      <c r="Z7" s="46" t="s">
        <v>31</v>
      </c>
      <c r="AA7" s="52" t="s">
        <v>32</v>
      </c>
      <c r="AB7" s="41" t="s">
        <v>42</v>
      </c>
      <c r="AC7" s="41"/>
    </row>
    <row r="8" spans="1:30" x14ac:dyDescent="0.35">
      <c r="A8" t="s">
        <v>9</v>
      </c>
      <c r="B8" s="12">
        <v>43</v>
      </c>
      <c r="C8" s="12">
        <v>522</v>
      </c>
      <c r="D8" s="7">
        <v>120</v>
      </c>
      <c r="E8" s="7">
        <v>6</v>
      </c>
      <c r="F8" s="14">
        <f>SUM(B8:E8)</f>
        <v>691</v>
      </c>
      <c r="G8" s="15">
        <f>F8/F3</f>
        <v>0.26876701672500974</v>
      </c>
      <c r="H8" s="37">
        <f>I8/F8</f>
        <v>0.81765557163531111</v>
      </c>
      <c r="I8" s="14">
        <f>SUM(B8:C8)</f>
        <v>565</v>
      </c>
      <c r="J8" s="15">
        <f>I8/I3</f>
        <v>0.30524041058887086</v>
      </c>
      <c r="K8" s="48">
        <f>B8+D8</f>
        <v>163</v>
      </c>
      <c r="L8" s="48">
        <f>B8</f>
        <v>43</v>
      </c>
      <c r="M8" s="50">
        <f>L8/K8</f>
        <v>0.26380368098159507</v>
      </c>
      <c r="N8" s="50"/>
      <c r="Q8" s="12">
        <v>27</v>
      </c>
      <c r="R8" s="12">
        <v>277</v>
      </c>
      <c r="S8" s="7">
        <v>76</v>
      </c>
      <c r="T8" s="7">
        <v>4.49</v>
      </c>
      <c r="U8" s="14">
        <f>SUM(Q8:T8)</f>
        <v>384.49</v>
      </c>
      <c r="V8" s="15">
        <f>U8/U3</f>
        <v>0.28887302779864765</v>
      </c>
      <c r="W8" s="18">
        <f>X8/U8</f>
        <v>0.7906577544279435</v>
      </c>
      <c r="X8" s="9">
        <f>SUM(Q8:R8)</f>
        <v>304</v>
      </c>
      <c r="Y8" s="18">
        <f>X8/777</f>
        <v>0.39124839124839123</v>
      </c>
      <c r="Z8" s="48">
        <f>Q8+S8</f>
        <v>103</v>
      </c>
      <c r="AA8" s="48">
        <f>Q8</f>
        <v>27</v>
      </c>
      <c r="AB8" s="50">
        <f>AA8/Z8</f>
        <v>0.26213592233009708</v>
      </c>
      <c r="AC8" s="50"/>
    </row>
    <row r="9" spans="1:30" x14ac:dyDescent="0.35">
      <c r="A9" t="s">
        <v>10</v>
      </c>
      <c r="B9" s="12">
        <v>72</v>
      </c>
      <c r="C9" s="12">
        <v>1011</v>
      </c>
      <c r="D9" s="7">
        <v>240</v>
      </c>
      <c r="E9" s="7">
        <v>20.66</v>
      </c>
      <c r="F9" s="14">
        <f>SUM(B9:E9)</f>
        <v>1343.66</v>
      </c>
      <c r="G9" s="15">
        <f>F9/F3</f>
        <v>0.52262154803578376</v>
      </c>
      <c r="H9" s="37">
        <f>I9/F9</f>
        <v>0.80600747212836577</v>
      </c>
      <c r="I9" s="14">
        <f>SUM(B9:C9)</f>
        <v>1083</v>
      </c>
      <c r="J9" s="15">
        <f>I9/I3</f>
        <v>0.5850891410048622</v>
      </c>
      <c r="K9" s="48">
        <f>B9+D9</f>
        <v>312</v>
      </c>
      <c r="L9" s="48">
        <f>B9</f>
        <v>72</v>
      </c>
      <c r="M9" s="50">
        <f>L9/K9</f>
        <v>0.23076923076923078</v>
      </c>
      <c r="N9" s="50"/>
      <c r="Q9" s="12">
        <v>51</v>
      </c>
      <c r="R9" s="12">
        <v>420</v>
      </c>
      <c r="S9" s="7">
        <v>136</v>
      </c>
      <c r="T9" s="7">
        <v>8.49</v>
      </c>
      <c r="U9" s="14">
        <f t="shared" ref="U9:U10" si="0">SUM(Q9:T9)</f>
        <v>615.49</v>
      </c>
      <c r="V9" s="15">
        <f>U9/U3</f>
        <v>0.46242674680691209</v>
      </c>
      <c r="W9" s="18">
        <f>X9/U9</f>
        <v>0.76524395197322459</v>
      </c>
      <c r="X9" s="9">
        <f>SUM(Q9:R9)</f>
        <v>471</v>
      </c>
      <c r="Y9" s="18">
        <f>X9/777</f>
        <v>0.60617760617760619</v>
      </c>
      <c r="Z9" s="48">
        <f>Q9+S9</f>
        <v>187</v>
      </c>
      <c r="AA9" s="48">
        <f>Q9</f>
        <v>51</v>
      </c>
      <c r="AB9" s="50">
        <f>AA9/Z9</f>
        <v>0.27272727272727271</v>
      </c>
      <c r="AC9" s="50"/>
    </row>
    <row r="10" spans="1:30" x14ac:dyDescent="0.35">
      <c r="A10" t="s">
        <v>11</v>
      </c>
      <c r="B10" s="12">
        <v>96</v>
      </c>
      <c r="C10" s="12">
        <v>1310</v>
      </c>
      <c r="D10" s="7">
        <v>367</v>
      </c>
      <c r="E10" s="7">
        <v>37</v>
      </c>
      <c r="F10" s="14">
        <f>SUM(B10:E10)</f>
        <v>1810</v>
      </c>
      <c r="G10" s="15">
        <f>F10/F3</f>
        <v>0.70400622325943207</v>
      </c>
      <c r="H10" s="37">
        <f>I10/F10</f>
        <v>0.77679558011049721</v>
      </c>
      <c r="I10" s="14">
        <f>SUM(B10:C10)</f>
        <v>1406</v>
      </c>
      <c r="J10" s="15">
        <f>I10/I3</f>
        <v>0.75958941112911937</v>
      </c>
      <c r="K10" s="48">
        <f>B10+D10</f>
        <v>463</v>
      </c>
      <c r="L10" s="48">
        <f>B10</f>
        <v>96</v>
      </c>
      <c r="M10" s="50">
        <f>L10/K10</f>
        <v>0.20734341252699784</v>
      </c>
      <c r="N10" s="50"/>
      <c r="Q10" s="12">
        <v>73</v>
      </c>
      <c r="R10" s="12">
        <v>438</v>
      </c>
      <c r="S10" s="7">
        <v>211</v>
      </c>
      <c r="T10" s="7">
        <v>8</v>
      </c>
      <c r="U10" s="14">
        <f t="shared" si="0"/>
        <v>730</v>
      </c>
      <c r="V10" s="15">
        <f>U10/U3</f>
        <v>0.54845980465815181</v>
      </c>
      <c r="W10" s="18">
        <f>X10/U10</f>
        <v>0.7</v>
      </c>
      <c r="X10" s="9">
        <f>SUM(Q10:R10)</f>
        <v>511</v>
      </c>
      <c r="Y10" s="18">
        <f>X10/777</f>
        <v>0.65765765765765771</v>
      </c>
      <c r="Z10" s="48">
        <f>Q10+S10</f>
        <v>284</v>
      </c>
      <c r="AA10" s="48">
        <f>Q10</f>
        <v>73</v>
      </c>
      <c r="AB10" s="50">
        <f>AA10/Z10</f>
        <v>0.25704225352112675</v>
      </c>
      <c r="AC10" s="50"/>
    </row>
    <row r="11" spans="1:30" x14ac:dyDescent="0.35">
      <c r="F11" s="11"/>
      <c r="G11" s="15"/>
      <c r="H11" s="37"/>
      <c r="I11" s="15"/>
      <c r="J11" s="15"/>
      <c r="K11" s="47"/>
      <c r="L11" s="47"/>
      <c r="M11" s="8"/>
      <c r="N11" s="8"/>
      <c r="U11" s="11"/>
      <c r="Z11" s="47"/>
      <c r="AA11" s="47"/>
      <c r="AB11" s="8"/>
      <c r="AC11" s="8"/>
    </row>
    <row r="12" spans="1:30" x14ac:dyDescent="0.35">
      <c r="B12" s="57" t="s">
        <v>22</v>
      </c>
      <c r="C12" s="57"/>
      <c r="D12" s="57"/>
      <c r="E12" s="57"/>
      <c r="F12" s="11"/>
      <c r="G12" s="15"/>
      <c r="H12" s="37"/>
      <c r="I12" s="15"/>
      <c r="J12" s="15"/>
      <c r="K12" s="48" t="s">
        <v>25</v>
      </c>
      <c r="L12" s="48"/>
      <c r="M12" s="8"/>
      <c r="N12" s="8"/>
      <c r="Q12" s="57" t="s">
        <v>22</v>
      </c>
      <c r="R12" s="57"/>
      <c r="S12" s="57"/>
      <c r="T12" s="57"/>
      <c r="U12" s="11"/>
      <c r="Z12" s="48" t="s">
        <v>25</v>
      </c>
      <c r="AA12" s="48"/>
      <c r="AB12" s="8"/>
      <c r="AC12" s="8"/>
    </row>
    <row r="13" spans="1:30" x14ac:dyDescent="0.35">
      <c r="A13" s="6" t="s">
        <v>13</v>
      </c>
      <c r="B13" s="9"/>
      <c r="C13" s="9"/>
      <c r="D13" s="9"/>
      <c r="E13" s="9"/>
      <c r="F13" s="13"/>
      <c r="G13" s="13"/>
      <c r="H13" s="13"/>
      <c r="I13" s="13">
        <f>SUM(D3:E3)</f>
        <v>720</v>
      </c>
      <c r="K13" s="46" t="s">
        <v>31</v>
      </c>
      <c r="L13" s="52" t="s">
        <v>32</v>
      </c>
      <c r="M13" s="41" t="s">
        <v>42</v>
      </c>
      <c r="N13" s="53" t="s">
        <v>30</v>
      </c>
      <c r="O13" s="11" t="s">
        <v>29</v>
      </c>
      <c r="Q13" s="9"/>
      <c r="R13" s="9"/>
      <c r="S13" s="9"/>
      <c r="T13" s="9"/>
      <c r="U13" s="13"/>
      <c r="V13" s="13"/>
      <c r="X13">
        <f>SUM(S3:T3)</f>
        <v>554.21</v>
      </c>
      <c r="Z13" s="46" t="s">
        <v>31</v>
      </c>
      <c r="AA13" s="52" t="s">
        <v>32</v>
      </c>
      <c r="AB13" s="41" t="s">
        <v>42</v>
      </c>
      <c r="AC13" s="53" t="s">
        <v>30</v>
      </c>
      <c r="AD13" s="11" t="s">
        <v>29</v>
      </c>
    </row>
    <row r="14" spans="1:30" x14ac:dyDescent="0.35">
      <c r="A14" t="s">
        <v>9</v>
      </c>
      <c r="B14" s="7">
        <f>B3-B8</f>
        <v>81</v>
      </c>
      <c r="C14" s="7">
        <f>C3-C8</f>
        <v>1205</v>
      </c>
      <c r="D14" s="12">
        <f>D3-D8</f>
        <v>541</v>
      </c>
      <c r="E14" s="12">
        <f>E3-E8</f>
        <v>53</v>
      </c>
      <c r="F14" s="13">
        <f>SUM(B14:E14)</f>
        <v>1880</v>
      </c>
      <c r="G14" s="16">
        <f>F14/F3</f>
        <v>0.73123298327499031</v>
      </c>
      <c r="H14" s="32">
        <f>I14/F14</f>
        <v>0.31595744680851062</v>
      </c>
      <c r="I14" s="13">
        <f>SUM(D14:E14)</f>
        <v>594</v>
      </c>
      <c r="J14" s="16">
        <f>I14/I13</f>
        <v>0.82499999999999996</v>
      </c>
      <c r="K14" s="26">
        <f>SUM(B14:E14)</f>
        <v>1880</v>
      </c>
      <c r="L14" s="26">
        <f>B14+E14</f>
        <v>134</v>
      </c>
      <c r="M14" s="51">
        <f>L14/K14</f>
        <v>7.1276595744680857E-2</v>
      </c>
      <c r="N14" s="54">
        <f t="shared" ref="N14:O16" si="1">K8+K14</f>
        <v>2043</v>
      </c>
      <c r="O14" s="14">
        <f t="shared" si="1"/>
        <v>177</v>
      </c>
      <c r="Q14" s="7">
        <f>Q3-Q8</f>
        <v>111.03999999999999</v>
      </c>
      <c r="R14" s="7">
        <f>R3-R8</f>
        <v>361.75</v>
      </c>
      <c r="S14" s="12">
        <f>S3-S8</f>
        <v>453.26</v>
      </c>
      <c r="T14" s="12">
        <f>T3-T8</f>
        <v>20.46</v>
      </c>
      <c r="U14" s="13">
        <f>SUM(Q14:T14)</f>
        <v>946.51</v>
      </c>
      <c r="V14" s="30">
        <f>U14/U3</f>
        <v>0.71112697220135235</v>
      </c>
      <c r="W14" s="33">
        <f>X14/U14</f>
        <v>0.50049127848622832</v>
      </c>
      <c r="X14" s="9">
        <f>SUM(S14:T14)</f>
        <v>473.71999999999997</v>
      </c>
      <c r="Y14" s="30">
        <f>X14/X13</f>
        <v>0.85476624384258659</v>
      </c>
      <c r="Z14" s="26">
        <f>SUM(Q14:T14)</f>
        <v>946.51</v>
      </c>
      <c r="AA14" s="26">
        <f>Q14+T14</f>
        <v>131.5</v>
      </c>
      <c r="AB14" s="51">
        <f>AA14/Z14</f>
        <v>0.13893144287963149</v>
      </c>
      <c r="AC14" s="54">
        <f t="shared" ref="AC14:AD16" si="2">Z8+Z14</f>
        <v>1049.51</v>
      </c>
      <c r="AD14" s="14">
        <f t="shared" si="2"/>
        <v>158.5</v>
      </c>
    </row>
    <row r="15" spans="1:30" x14ac:dyDescent="0.35">
      <c r="A15" t="s">
        <v>10</v>
      </c>
      <c r="B15" s="7">
        <f>B3-B9</f>
        <v>52</v>
      </c>
      <c r="C15" s="7">
        <f>C3-C9</f>
        <v>716</v>
      </c>
      <c r="D15" s="12">
        <f>D3-D9</f>
        <v>421</v>
      </c>
      <c r="E15" s="12">
        <f>E3-E9</f>
        <v>38.340000000000003</v>
      </c>
      <c r="F15" s="13">
        <f>SUM(B15:E15)</f>
        <v>1227.3399999999999</v>
      </c>
      <c r="G15" s="16">
        <f>F15/F3</f>
        <v>0.47737845196421624</v>
      </c>
      <c r="H15" s="32">
        <f>I15/F15</f>
        <v>0.37425652223507755</v>
      </c>
      <c r="I15" s="13">
        <f>SUM(D15:E15)</f>
        <v>459.34000000000003</v>
      </c>
      <c r="J15" s="16">
        <f>I15/I13</f>
        <v>0.63797222222222227</v>
      </c>
      <c r="K15" s="26">
        <f>SUM(B15:E15)</f>
        <v>1227.3399999999999</v>
      </c>
      <c r="L15" s="26">
        <f>B15+E15</f>
        <v>90.34</v>
      </c>
      <c r="M15" s="51">
        <f>L15/K15</f>
        <v>7.3606335652712379E-2</v>
      </c>
      <c r="N15" s="54">
        <f t="shared" si="1"/>
        <v>1539.34</v>
      </c>
      <c r="O15" s="14">
        <f t="shared" si="1"/>
        <v>162.34</v>
      </c>
      <c r="Q15" s="7">
        <f>Q3-Q9</f>
        <v>87.039999999999992</v>
      </c>
      <c r="R15" s="7">
        <f>R3-R9</f>
        <v>218.75</v>
      </c>
      <c r="S15" s="12">
        <f>S3-S9</f>
        <v>393.26</v>
      </c>
      <c r="T15" s="12">
        <f>T3-T9</f>
        <v>16.46</v>
      </c>
      <c r="U15" s="13">
        <f>SUM(Q15:T15)</f>
        <v>715.51</v>
      </c>
      <c r="V15" s="30">
        <f>U15/U3</f>
        <v>0.53757325319308791</v>
      </c>
      <c r="W15" s="33">
        <f>X15/U15</f>
        <v>0.57262651814789445</v>
      </c>
      <c r="X15" s="9">
        <f>SUM(S15:T15)</f>
        <v>409.71999999999997</v>
      </c>
      <c r="Y15" s="30">
        <f>X15/X13</f>
        <v>0.73928655202901417</v>
      </c>
      <c r="Z15" s="26">
        <f>SUM(Q15:T15)</f>
        <v>715.51</v>
      </c>
      <c r="AA15" s="26">
        <f>Q15+T15</f>
        <v>103.5</v>
      </c>
      <c r="AB15" s="51">
        <f>AA15/Z15</f>
        <v>0.14465206635826194</v>
      </c>
      <c r="AC15" s="54">
        <f t="shared" si="2"/>
        <v>902.51</v>
      </c>
      <c r="AD15" s="14">
        <f t="shared" si="2"/>
        <v>154.5</v>
      </c>
    </row>
    <row r="16" spans="1:30" x14ac:dyDescent="0.35">
      <c r="A16" t="s">
        <v>15</v>
      </c>
      <c r="B16" s="7">
        <f>B3-B10</f>
        <v>28</v>
      </c>
      <c r="C16" s="7">
        <f>C3-C10</f>
        <v>417</v>
      </c>
      <c r="D16" s="12">
        <f>D3-D10</f>
        <v>294</v>
      </c>
      <c r="E16" s="12">
        <f>E3-E10</f>
        <v>22</v>
      </c>
      <c r="F16" s="13">
        <f>SUM(B16:E16)</f>
        <v>761</v>
      </c>
      <c r="G16" s="16">
        <f>F16/F3</f>
        <v>0.29599377674056787</v>
      </c>
      <c r="H16" s="32">
        <f>I16/F16</f>
        <v>0.41524310118265439</v>
      </c>
      <c r="I16" s="13">
        <f>SUM(D16:E16)</f>
        <v>316</v>
      </c>
      <c r="J16" s="16">
        <f>I16/I13</f>
        <v>0.43888888888888888</v>
      </c>
      <c r="K16" s="26">
        <f>SUM(B16:E16)</f>
        <v>761</v>
      </c>
      <c r="L16" s="26">
        <f>B16+E16</f>
        <v>50</v>
      </c>
      <c r="M16" s="51">
        <f>L16/K16</f>
        <v>6.5703022339027597E-2</v>
      </c>
      <c r="N16" s="54">
        <f t="shared" si="1"/>
        <v>1224</v>
      </c>
      <c r="O16" s="14">
        <f t="shared" si="1"/>
        <v>146</v>
      </c>
      <c r="Q16" s="7">
        <f>Q3-Q10</f>
        <v>65.039999999999992</v>
      </c>
      <c r="R16" s="7">
        <f>R3-R10</f>
        <v>200.75</v>
      </c>
      <c r="S16" s="12">
        <f>S3-S10</f>
        <v>318.26</v>
      </c>
      <c r="T16" s="12">
        <f>T3-T10</f>
        <v>16.95</v>
      </c>
      <c r="U16" s="13">
        <f>SUM(Q16:T16)</f>
        <v>601</v>
      </c>
      <c r="V16" s="30">
        <f>U16/U3</f>
        <v>0.45154019534184825</v>
      </c>
      <c r="W16" s="33">
        <f>X16/U16</f>
        <v>0.55775374376039932</v>
      </c>
      <c r="X16" s="9">
        <f>SUM(S16:T16)</f>
        <v>335.21</v>
      </c>
      <c r="Y16" s="30">
        <f>X16/X13</f>
        <v>0.60484292957543162</v>
      </c>
      <c r="Z16" s="26">
        <f>SUM(Q16:T16)</f>
        <v>601</v>
      </c>
      <c r="AA16" s="26">
        <f>Q16+T16</f>
        <v>81.99</v>
      </c>
      <c r="AB16" s="51">
        <f>AA16/Z16</f>
        <v>0.13642262895174709</v>
      </c>
      <c r="AC16" s="54">
        <f t="shared" si="2"/>
        <v>885</v>
      </c>
      <c r="AD16" s="14">
        <f t="shared" si="2"/>
        <v>154.99</v>
      </c>
    </row>
    <row r="20" spans="11:11" x14ac:dyDescent="0.35">
      <c r="K20" s="11"/>
    </row>
  </sheetData>
  <mergeCells count="6">
    <mergeCell ref="B1:E1"/>
    <mergeCell ref="Q1:T1"/>
    <mergeCell ref="B6:E6"/>
    <mergeCell ref="B12:E12"/>
    <mergeCell ref="Q12:T12"/>
    <mergeCell ref="Q6:T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Fault identification analysis </vt:lpstr>
      <vt:lpstr>CodeBERT4JIT</vt:lpstr>
      <vt:lpstr>LApredict</vt:lpstr>
      <vt:lpstr>DeepJIT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dc:creator>
  <cp:lastModifiedBy>Xhulja Shahini</cp:lastModifiedBy>
  <dcterms:created xsi:type="dcterms:W3CDTF">2015-06-05T18:17:20Z</dcterms:created>
  <dcterms:modified xsi:type="dcterms:W3CDTF">2026-02-03T13:43:07Z</dcterms:modified>
</cp:coreProperties>
</file>
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hulj\Desktop\CPa\EX2\CPa_effectivenes_pre_vs_post_calibration\Test_set\"/>
    </mc:Choice>
  </mc:AlternateContent>
  <xr:revisionPtr revIDLastSave="0" documentId="13_ncr:1_{F5212651-91F2-4F35-A2B0-26F26E438F57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OS_alpha_0.05" sheetId="1" r:id="rId1"/>
    <sheet name="OS_alpha_0.10" sheetId="2" r:id="rId2"/>
    <sheet name="OS_alpha_0.15" sheetId="3" r:id="rId3"/>
    <sheet name="QT_alpha_0.05" sheetId="4" r:id="rId4"/>
    <sheet name="QT_alpha_0.10" sheetId="5" r:id="rId5"/>
    <sheet name="QT_alpha_0.1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3" i="2"/>
  <c r="U12" i="3" l="1"/>
  <c r="T12" i="3"/>
  <c r="R12" i="3"/>
  <c r="Q12" i="3"/>
  <c r="U12" i="2"/>
  <c r="T12" i="2"/>
  <c r="R12" i="2"/>
  <c r="Q12" i="2"/>
  <c r="U12" i="1"/>
  <c r="T12" i="1"/>
  <c r="R12" i="1"/>
  <c r="Q12" i="1"/>
  <c r="K13" i="1"/>
  <c r="J13" i="1"/>
  <c r="I12" i="1"/>
  <c r="H12" i="1"/>
  <c r="K13" i="2"/>
  <c r="J13" i="2"/>
  <c r="I12" i="2"/>
  <c r="H12" i="2"/>
  <c r="K13" i="3"/>
  <c r="J13" i="3"/>
  <c r="I12" i="3"/>
  <c r="H12" i="3"/>
  <c r="K13" i="4"/>
  <c r="J13" i="4"/>
  <c r="I12" i="4"/>
  <c r="I13" i="4" s="1"/>
  <c r="H12" i="4"/>
  <c r="K13" i="5"/>
  <c r="J13" i="5"/>
  <c r="I12" i="5"/>
  <c r="H12" i="5"/>
  <c r="K13" i="6"/>
  <c r="J13" i="6"/>
  <c r="U12" i="6" l="1"/>
  <c r="R12" i="6"/>
  <c r="Q12" i="5"/>
  <c r="R12" i="5"/>
  <c r="U12" i="5"/>
  <c r="T12" i="5"/>
  <c r="Q12" i="4"/>
  <c r="U12" i="4"/>
  <c r="R12" i="4"/>
  <c r="T12" i="4"/>
  <c r="T12" i="6"/>
  <c r="Q12" i="6"/>
  <c r="I12" i="6"/>
  <c r="I13" i="6" s="1"/>
  <c r="H12" i="6"/>
  <c r="F12" i="6"/>
  <c r="D12" i="6"/>
  <c r="F12" i="5"/>
  <c r="D12" i="5"/>
  <c r="F12" i="4"/>
  <c r="D12" i="4"/>
  <c r="O12" i="3"/>
  <c r="N12" i="3"/>
  <c r="F12" i="3"/>
  <c r="D12" i="3"/>
  <c r="O12" i="2"/>
  <c r="N12" i="2"/>
  <c r="F12" i="2"/>
  <c r="D12" i="2"/>
  <c r="F12" i="1"/>
  <c r="D12" i="1"/>
  <c r="O15" i="3"/>
  <c r="O14" i="3"/>
  <c r="N15" i="3"/>
  <c r="O15" i="2"/>
  <c r="N15" i="2"/>
  <c r="O15" i="1"/>
  <c r="O14" i="1"/>
  <c r="O13" i="1"/>
  <c r="O12" i="1"/>
  <c r="O12" i="5" l="1"/>
  <c r="N12" i="5"/>
  <c r="N15" i="5"/>
  <c r="O15" i="5"/>
  <c r="N15" i="6"/>
  <c r="O15" i="6"/>
  <c r="O12" i="6"/>
  <c r="N12" i="6"/>
  <c r="N12" i="4"/>
  <c r="O12" i="4"/>
  <c r="N14" i="4"/>
  <c r="N15" i="4"/>
  <c r="N13" i="6"/>
  <c r="O13" i="6"/>
  <c r="N14" i="6"/>
  <c r="O14" i="6"/>
  <c r="N13" i="5"/>
  <c r="O13" i="5"/>
  <c r="N14" i="5"/>
  <c r="O14" i="5"/>
  <c r="O15" i="4"/>
  <c r="N13" i="4"/>
  <c r="O13" i="4"/>
  <c r="O14" i="4"/>
  <c r="N13" i="3"/>
  <c r="O13" i="3"/>
  <c r="N14" i="3"/>
  <c r="N13" i="2"/>
  <c r="O13" i="2"/>
  <c r="N14" i="2"/>
  <c r="O14" i="2"/>
  <c r="N15" i="1"/>
  <c r="N12" i="1"/>
  <c r="N13" i="1"/>
  <c r="N14" i="1"/>
</calcChain>
</file>

<file path=xl/sharedStrings.xml><?xml version="1.0" encoding="utf-8"?>
<sst xmlns="http://schemas.openxmlformats.org/spreadsheetml/2006/main" count="178" uniqueCount="69">
  <si>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</si>
  <si>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</si>
  <si>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</si>
  <si>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</si>
  <si>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</si>
  <si>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</si>
  <si>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</si>
  <si>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</si>
  <si>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</si>
  <si>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</si>
  <si>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</si>
  <si>
    <t>Precision</t>
  </si>
  <si>
    <t>AVG</t>
  </si>
  <si>
    <t>Recall</t>
  </si>
  <si>
    <t>StDEV</t>
  </si>
  <si>
    <t>Min</t>
  </si>
  <si>
    <t>Max</t>
  </si>
  <si>
    <t>0.967706503</t>
  </si>
  <si>
    <t>0.967486819</t>
  </si>
  <si>
    <t>0.967047452</t>
  </si>
  <si>
    <t>0.960896309</t>
  </si>
  <si>
    <t>0.964411248</t>
  </si>
  <si>
    <t>0.956942004</t>
  </si>
  <si>
    <t>0.965949033</t>
  </si>
  <si>
    <t>0.962873462</t>
  </si>
  <si>
    <t>0.937609842</t>
  </si>
  <si>
    <t>0.940026362</t>
  </si>
  <si>
    <t>0.934534271</t>
  </si>
  <si>
    <t>0.928602812</t>
  </si>
  <si>
    <t>0.937390158</t>
  </si>
  <si>
    <t>0.93211775</t>
  </si>
  <si>
    <t>0.92970123</t>
  </si>
  <si>
    <t>0.935193322</t>
  </si>
  <si>
    <t>0.924428822</t>
  </si>
  <si>
    <t>0.904217926</t>
  </si>
  <si>
    <t>0.89543058</t>
  </si>
  <si>
    <t>0.896528998</t>
  </si>
  <si>
    <t>0.889279438</t>
  </si>
  <si>
    <t>0.892574692</t>
  </si>
  <si>
    <t>0.894991213</t>
  </si>
  <si>
    <t>0.90202109</t>
  </si>
  <si>
    <t>0.885105448</t>
  </si>
  <si>
    <t>0.893233743</t>
  </si>
  <si>
    <t>0.925151579</t>
  </si>
  <si>
    <t>0.954421911</t>
  </si>
  <si>
    <t>0.945849885</t>
  </si>
  <si>
    <t>0.957976166</t>
  </si>
  <si>
    <t>0.945640811</t>
  </si>
  <si>
    <t>0.960275977</t>
  </si>
  <si>
    <t>0.90048087</t>
  </si>
  <si>
    <t>0.889399958</t>
  </si>
  <si>
    <t>0.914070667</t>
  </si>
  <si>
    <t>0.878946268</t>
  </si>
  <si>
    <t>0.895044951</t>
  </si>
  <si>
    <t>0.907171231</t>
  </si>
  <si>
    <t>0.859711478</t>
  </si>
  <si>
    <t>0.862638511</t>
  </si>
  <si>
    <t>0.843612795</t>
  </si>
  <si>
    <t>0.832740958</t>
  </si>
  <si>
    <t>0.837549655</t>
  </si>
  <si>
    <t>0.858247962</t>
  </si>
  <si>
    <t>0.852602969</t>
  </si>
  <si>
    <t>0.865147397</t>
  </si>
  <si>
    <t>Platt-scaled LApredict with openstack makes 3701 correct predictions (197 fault-prone ; 3504 clean)</t>
  </si>
  <si>
    <t>Platt-scaled LApredict with openstack makes 4089 correct predictions (23 fault-prone ; 4067 clean)</t>
  </si>
  <si>
    <t>Precision_clean</t>
  </si>
  <si>
    <t>recall_clean</t>
  </si>
  <si>
    <t>Precision faulty</t>
  </si>
  <si>
    <t>recall_faulty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</si>
</sst>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nlyoffice.com/jsaProject" Target="js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selection activeCell="T10" sqref="T10"/>
    </sheetView>
  </sheetViews>
  <sheetFormatPr defaultRowHeight="14.4" x14ac:dyDescent="0.3"/>
  <cols>
    <col min="14" max="15" width="10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11</v>
      </c>
      <c r="O1" s="2" t="s">
        <v>13</v>
      </c>
      <c r="Q1" s="8" t="s">
        <v>65</v>
      </c>
      <c r="R1" s="8" t="s">
        <v>66</v>
      </c>
      <c r="T1" s="8" t="s">
        <v>67</v>
      </c>
      <c r="U1" s="8" t="s">
        <v>68</v>
      </c>
    </row>
    <row r="2" spans="1:21" x14ac:dyDescent="0.3">
      <c r="A2" s="3">
        <v>4552</v>
      </c>
      <c r="B2" s="3" t="s">
        <v>17</v>
      </c>
      <c r="C2" s="3">
        <v>0</v>
      </c>
      <c r="D2" s="3">
        <v>1717</v>
      </c>
      <c r="E2" s="3">
        <v>2835</v>
      </c>
      <c r="F2" s="3">
        <v>1570</v>
      </c>
      <c r="G2" s="3">
        <v>147</v>
      </c>
      <c r="H2" s="3">
        <v>19</v>
      </c>
      <c r="I2" s="3">
        <v>1551</v>
      </c>
      <c r="J2" s="3">
        <v>142</v>
      </c>
      <c r="K2" s="3">
        <v>5</v>
      </c>
      <c r="L2" s="4"/>
      <c r="M2" s="4"/>
      <c r="N2" s="3">
        <v>0.91438555620267914</v>
      </c>
      <c r="O2" s="5">
        <v>0.42420967306133478</v>
      </c>
      <c r="Q2">
        <v>0.91612522150029529</v>
      </c>
      <c r="R2">
        <v>0.44263698630136988</v>
      </c>
      <c r="T2">
        <v>0.79166666666666663</v>
      </c>
      <c r="U2">
        <v>9.6446700507614211E-2</v>
      </c>
    </row>
    <row r="3" spans="1:21" x14ac:dyDescent="0.3">
      <c r="A3" s="3">
        <v>4552</v>
      </c>
      <c r="B3" s="3" t="s">
        <v>18</v>
      </c>
      <c r="C3" s="3">
        <v>0</v>
      </c>
      <c r="D3" s="3">
        <v>1719</v>
      </c>
      <c r="E3" s="3">
        <v>2833</v>
      </c>
      <c r="F3" s="3">
        <v>1571</v>
      </c>
      <c r="G3" s="3">
        <v>148</v>
      </c>
      <c r="H3" s="3">
        <v>26</v>
      </c>
      <c r="I3" s="3">
        <v>1545</v>
      </c>
      <c r="J3" s="3">
        <v>141</v>
      </c>
      <c r="K3" s="3">
        <v>7</v>
      </c>
      <c r="L3" s="4"/>
      <c r="M3" s="4"/>
      <c r="N3" s="3">
        <v>0.9139034322280396</v>
      </c>
      <c r="O3" s="5">
        <v>0.42447987030532286</v>
      </c>
      <c r="Q3">
        <v>0.91637010676156583</v>
      </c>
      <c r="R3">
        <v>0.44092465753424659</v>
      </c>
      <c r="T3">
        <v>0.78787878787878785</v>
      </c>
      <c r="U3">
        <v>0.13197969543147209</v>
      </c>
    </row>
    <row r="4" spans="1:21" x14ac:dyDescent="0.3">
      <c r="A4" s="3">
        <v>4552</v>
      </c>
      <c r="B4" s="3" t="s">
        <v>19</v>
      </c>
      <c r="C4" s="3">
        <v>0</v>
      </c>
      <c r="D4" s="3">
        <v>1738</v>
      </c>
      <c r="E4" s="3">
        <v>2814</v>
      </c>
      <c r="F4" s="3">
        <v>1588</v>
      </c>
      <c r="G4" s="3">
        <v>150</v>
      </c>
      <c r="H4" s="3">
        <v>19</v>
      </c>
      <c r="I4" s="3">
        <v>1569</v>
      </c>
      <c r="J4" s="3">
        <v>145</v>
      </c>
      <c r="K4" s="3">
        <v>5</v>
      </c>
      <c r="L4" s="4"/>
      <c r="M4" s="4"/>
      <c r="N4" s="3">
        <v>0.91369390103567316</v>
      </c>
      <c r="O4" s="5">
        <v>0.42907322345312077</v>
      </c>
      <c r="Q4">
        <v>0.91540256709451573</v>
      </c>
      <c r="R4">
        <v>0.44777397260273971</v>
      </c>
      <c r="T4">
        <v>0.79166666666666663</v>
      </c>
      <c r="U4">
        <v>9.6446700507614211E-2</v>
      </c>
    </row>
    <row r="5" spans="1:21" x14ac:dyDescent="0.3">
      <c r="A5" s="3">
        <v>4552</v>
      </c>
      <c r="B5" s="3" t="s">
        <v>19</v>
      </c>
      <c r="C5" s="3">
        <v>0</v>
      </c>
      <c r="D5" s="3">
        <v>1724</v>
      </c>
      <c r="E5" s="3">
        <v>2828</v>
      </c>
      <c r="F5" s="3">
        <v>1574</v>
      </c>
      <c r="G5" s="3">
        <v>150</v>
      </c>
      <c r="H5" s="3">
        <v>38</v>
      </c>
      <c r="I5" s="3">
        <v>1536</v>
      </c>
      <c r="J5" s="3">
        <v>140</v>
      </c>
      <c r="K5" s="3">
        <v>10</v>
      </c>
      <c r="L5" s="4"/>
      <c r="M5" s="4"/>
      <c r="N5" s="3">
        <v>0.91299303944315546</v>
      </c>
      <c r="O5" s="5">
        <v>0.42529046203728721</v>
      </c>
      <c r="Q5">
        <v>0.91646778042959431</v>
      </c>
      <c r="R5">
        <v>0.43835616438356162</v>
      </c>
      <c r="T5">
        <v>0.79166666666666663</v>
      </c>
      <c r="U5">
        <v>0.19289340101522842</v>
      </c>
    </row>
    <row r="6" spans="1:21" x14ac:dyDescent="0.3">
      <c r="A6" s="3">
        <v>4552</v>
      </c>
      <c r="B6" s="3" t="s">
        <v>20</v>
      </c>
      <c r="C6" s="3">
        <v>0</v>
      </c>
      <c r="D6" s="3">
        <v>2006</v>
      </c>
      <c r="E6" s="3">
        <v>2546</v>
      </c>
      <c r="F6" s="3">
        <v>1828</v>
      </c>
      <c r="G6" s="3">
        <v>178</v>
      </c>
      <c r="H6" s="3">
        <v>34</v>
      </c>
      <c r="I6" s="3">
        <v>1794</v>
      </c>
      <c r="J6" s="3">
        <v>170</v>
      </c>
      <c r="K6" s="3">
        <v>8</v>
      </c>
      <c r="L6" s="4"/>
      <c r="M6" s="4"/>
      <c r="N6" s="3">
        <v>0.9112662013958126</v>
      </c>
      <c r="O6" s="5">
        <v>0.49392056201026752</v>
      </c>
      <c r="Q6">
        <v>0.9134419551934827</v>
      </c>
      <c r="R6">
        <v>0.51198630136986301</v>
      </c>
      <c r="T6">
        <v>0.80952380952380953</v>
      </c>
      <c r="U6">
        <v>0.17258883248730963</v>
      </c>
    </row>
    <row r="7" spans="1:21" x14ac:dyDescent="0.3">
      <c r="A7" s="3">
        <v>4552</v>
      </c>
      <c r="B7" s="3" t="s">
        <v>21</v>
      </c>
      <c r="C7" s="3">
        <v>0</v>
      </c>
      <c r="D7" s="3">
        <v>1863</v>
      </c>
      <c r="E7" s="3">
        <v>2689</v>
      </c>
      <c r="F7" s="3">
        <v>1701</v>
      </c>
      <c r="G7" s="3">
        <v>162</v>
      </c>
      <c r="H7" s="3">
        <v>25</v>
      </c>
      <c r="I7" s="3">
        <v>1676</v>
      </c>
      <c r="J7" s="3">
        <v>155</v>
      </c>
      <c r="K7" s="3">
        <v>7</v>
      </c>
      <c r="L7" s="4"/>
      <c r="M7" s="4"/>
      <c r="N7" s="3">
        <v>0.91304347826086951</v>
      </c>
      <c r="O7" s="5">
        <v>0.45960551202377736</v>
      </c>
      <c r="Q7">
        <v>0.91534680502457677</v>
      </c>
      <c r="R7">
        <v>0.47831050228310501</v>
      </c>
      <c r="T7">
        <v>0.78125</v>
      </c>
      <c r="U7">
        <v>0.12690355329949238</v>
      </c>
    </row>
    <row r="8" spans="1:21" x14ac:dyDescent="0.3">
      <c r="A8" s="3">
        <v>4552</v>
      </c>
      <c r="B8" s="3" t="s">
        <v>22</v>
      </c>
      <c r="C8" s="3">
        <v>0</v>
      </c>
      <c r="D8" s="3">
        <v>2088</v>
      </c>
      <c r="E8" s="3">
        <v>2464</v>
      </c>
      <c r="F8" s="3">
        <v>1892</v>
      </c>
      <c r="G8" s="3">
        <v>196</v>
      </c>
      <c r="H8" s="3">
        <v>50</v>
      </c>
      <c r="I8" s="3">
        <v>1842</v>
      </c>
      <c r="J8" s="3">
        <v>175</v>
      </c>
      <c r="K8" s="3">
        <v>21</v>
      </c>
      <c r="L8" s="4"/>
      <c r="M8" s="4"/>
      <c r="N8" s="3">
        <v>0.9061302681992337</v>
      </c>
      <c r="O8" s="5">
        <v>0.51121318562550666</v>
      </c>
      <c r="Q8">
        <v>0.91323748140803174</v>
      </c>
      <c r="R8">
        <v>0.52568493150684936</v>
      </c>
      <c r="T8">
        <v>0.70422535211267601</v>
      </c>
      <c r="U8">
        <v>0.25380710659898476</v>
      </c>
    </row>
    <row r="9" spans="1:21" x14ac:dyDescent="0.3">
      <c r="A9" s="3">
        <v>4552</v>
      </c>
      <c r="B9" s="3" t="s">
        <v>23</v>
      </c>
      <c r="C9" s="3">
        <v>0</v>
      </c>
      <c r="D9" s="3">
        <v>1790</v>
      </c>
      <c r="E9" s="3">
        <v>2762</v>
      </c>
      <c r="F9" s="3">
        <v>1635</v>
      </c>
      <c r="G9" s="3">
        <v>155</v>
      </c>
      <c r="H9" s="3">
        <v>22</v>
      </c>
      <c r="I9" s="3">
        <v>1613</v>
      </c>
      <c r="J9" s="3">
        <v>149</v>
      </c>
      <c r="K9" s="3">
        <v>6</v>
      </c>
      <c r="L9" s="4"/>
      <c r="M9" s="4"/>
      <c r="N9" s="3">
        <v>0.91340782122905029</v>
      </c>
      <c r="O9" s="5">
        <v>0.441772493920562</v>
      </c>
      <c r="Q9">
        <v>0.91543700340522138</v>
      </c>
      <c r="R9">
        <v>0.4603310502283105</v>
      </c>
      <c r="T9">
        <v>0.7857142857142857</v>
      </c>
      <c r="U9">
        <v>0.1116751269035533</v>
      </c>
    </row>
    <row r="10" spans="1:21" x14ac:dyDescent="0.3">
      <c r="A10" s="3">
        <v>4552</v>
      </c>
      <c r="B10" s="3" t="s">
        <v>24</v>
      </c>
      <c r="C10" s="3">
        <v>0</v>
      </c>
      <c r="D10" s="3">
        <v>1804</v>
      </c>
      <c r="E10" s="3">
        <v>2748</v>
      </c>
      <c r="F10" s="3">
        <v>1635</v>
      </c>
      <c r="G10" s="3">
        <v>169</v>
      </c>
      <c r="H10" s="3">
        <v>50</v>
      </c>
      <c r="I10" s="3">
        <v>1585</v>
      </c>
      <c r="J10" s="3">
        <v>148</v>
      </c>
      <c r="K10" s="3">
        <v>21</v>
      </c>
      <c r="L10" s="4"/>
      <c r="M10" s="4"/>
      <c r="N10" s="3">
        <v>0.90631929046563198</v>
      </c>
      <c r="O10" s="5">
        <v>0.441772493920562</v>
      </c>
      <c r="Q10">
        <v>0.91459896133871899</v>
      </c>
      <c r="R10">
        <v>0.45234018264840181</v>
      </c>
      <c r="T10">
        <v>0.70422535211267601</v>
      </c>
      <c r="U10">
        <v>0.25380710659898476</v>
      </c>
    </row>
    <row r="11" spans="1:21" x14ac:dyDescent="0.3">
      <c r="A11" s="3">
        <v>4552</v>
      </c>
      <c r="B11" s="3" t="s">
        <v>20</v>
      </c>
      <c r="C11" s="3">
        <v>0</v>
      </c>
      <c r="D11" s="3">
        <v>1918</v>
      </c>
      <c r="E11" s="3">
        <v>2634</v>
      </c>
      <c r="F11" s="3">
        <v>1740</v>
      </c>
      <c r="G11" s="3">
        <v>178</v>
      </c>
      <c r="H11" s="3">
        <v>55</v>
      </c>
      <c r="I11" s="3">
        <v>1685</v>
      </c>
      <c r="J11" s="3">
        <v>155</v>
      </c>
      <c r="K11" s="3">
        <v>23</v>
      </c>
      <c r="L11" s="4"/>
      <c r="M11" s="4"/>
      <c r="N11" s="3">
        <v>0.90719499478623566</v>
      </c>
      <c r="O11" s="5">
        <v>0.47014320453931369</v>
      </c>
      <c r="Q11">
        <v>0.91576086956521741</v>
      </c>
      <c r="R11">
        <v>0.48087899543378998</v>
      </c>
      <c r="T11">
        <v>0.70512820512820518</v>
      </c>
      <c r="U11">
        <v>0.27918781725888325</v>
      </c>
    </row>
    <row r="12" spans="1:21" x14ac:dyDescent="0.3">
      <c r="D12" s="6">
        <f>AVERAGE(D2:D11)</f>
        <v>1836.7</v>
      </c>
      <c r="F12" s="6">
        <f>AVERAGE(F2:F11)</f>
        <v>1673.4</v>
      </c>
      <c r="H12" s="6">
        <f>AVERAGE(H2:H11)</f>
        <v>33.799999999999997</v>
      </c>
      <c r="I12" s="6">
        <f>AVERAGE(I2:I11)</f>
        <v>1639.6</v>
      </c>
      <c r="N12" s="6">
        <f>AVERAGE(N2:N11)</f>
        <v>0.91123379832463824</v>
      </c>
      <c r="O12" s="6">
        <f>AVERAGE(O2:O11)</f>
        <v>0.45214806808970548</v>
      </c>
      <c r="P12" s="7" t="s">
        <v>12</v>
      </c>
      <c r="Q12" s="6">
        <f t="shared" ref="Q12:R12" si="0">AVERAGE(Q2:Q11)</f>
        <v>0.91521887517212197</v>
      </c>
      <c r="R12" s="6">
        <f t="shared" si="0"/>
        <v>0.4679223744292238</v>
      </c>
      <c r="T12" s="6">
        <f t="shared" ref="T12:U12" si="1">AVERAGE(T2:T11)</f>
        <v>0.76529457924704403</v>
      </c>
      <c r="U12" s="6">
        <f t="shared" si="1"/>
        <v>0.17157360406091374</v>
      </c>
    </row>
    <row r="13" spans="1:21" x14ac:dyDescent="0.3">
      <c r="J13" s="6">
        <f>AVERAGE(J2:J11)</f>
        <v>152</v>
      </c>
      <c r="K13" s="6">
        <f>AVERAGE(K2:K11)</f>
        <v>11.3</v>
      </c>
      <c r="N13" s="5">
        <f>STDEV(N2:N11)</f>
        <v>3.3453162255506642E-3</v>
      </c>
      <c r="O13" s="5">
        <f>STDEV(O2:O11)</f>
        <v>3.0962765067589132E-2</v>
      </c>
      <c r="P13" s="2" t="s">
        <v>14</v>
      </c>
    </row>
    <row r="14" spans="1:21" x14ac:dyDescent="0.3">
      <c r="N14" s="5">
        <f>MIN(N2:N11)</f>
        <v>0.9061302681992337</v>
      </c>
      <c r="O14" s="5">
        <f>MIN(O2:O11)</f>
        <v>0.42420967306133478</v>
      </c>
      <c r="P14" s="2" t="s">
        <v>15</v>
      </c>
    </row>
    <row r="15" spans="1:21" x14ac:dyDescent="0.3">
      <c r="N15" s="5">
        <f>MAX(N2:N11)</f>
        <v>0.91438555620267914</v>
      </c>
      <c r="O15" s="5">
        <f>MAX(O2:O11)</f>
        <v>0.51121318562550666</v>
      </c>
      <c r="P15" s="2" t="s">
        <v>16</v>
      </c>
    </row>
    <row r="20" spans="1:1" x14ac:dyDescent="0.3">
      <c r="A20" s="2" t="s">
        <v>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91B4-BE41-4671-A010-BAAC415A75D1}">
  <dimension ref="A1:U15"/>
  <sheetViews>
    <sheetView workbookViewId="0">
      <selection activeCell="N2" sqref="N2:U11"/>
    </sheetView>
  </sheetViews>
  <sheetFormatPr defaultRowHeight="14.4" x14ac:dyDescent="0.3"/>
  <cols>
    <col min="14" max="14" width="12" bestFit="1" customWidth="1"/>
    <col min="15" max="15" width="10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11</v>
      </c>
      <c r="O1" s="2" t="s">
        <v>13</v>
      </c>
      <c r="Q1" s="8" t="s">
        <v>65</v>
      </c>
      <c r="R1" s="8" t="s">
        <v>66</v>
      </c>
      <c r="T1" s="8" t="s">
        <v>67</v>
      </c>
      <c r="U1" s="8" t="s">
        <v>68</v>
      </c>
    </row>
    <row r="2" spans="1:21" x14ac:dyDescent="0.3">
      <c r="A2" s="3">
        <v>4552</v>
      </c>
      <c r="B2" s="3" t="s">
        <v>25</v>
      </c>
      <c r="C2" s="3">
        <v>0</v>
      </c>
      <c r="D2" s="3">
        <v>2687</v>
      </c>
      <c r="E2" s="3">
        <v>1865</v>
      </c>
      <c r="F2" s="3">
        <v>2403</v>
      </c>
      <c r="G2" s="3">
        <v>284</v>
      </c>
      <c r="H2" s="3">
        <v>31</v>
      </c>
      <c r="I2" s="3">
        <v>2372</v>
      </c>
      <c r="J2" s="3">
        <v>276</v>
      </c>
      <c r="K2" s="3">
        <v>8</v>
      </c>
      <c r="L2" s="4"/>
      <c r="M2" s="4"/>
      <c r="N2" s="3">
        <v>0.89430591737997767</v>
      </c>
      <c r="O2" s="5">
        <v>0.64928397730343146</v>
      </c>
      <c r="Q2">
        <v>0.89577039274924475</v>
      </c>
      <c r="R2">
        <v>0.6769406392694064</v>
      </c>
      <c r="T2">
        <v>0.79487179487179482</v>
      </c>
      <c r="U2">
        <v>0.15736040609137056</v>
      </c>
    </row>
    <row r="3" spans="1:21" x14ac:dyDescent="0.3">
      <c r="A3" s="3">
        <v>4552</v>
      </c>
      <c r="B3" s="3" t="s">
        <v>26</v>
      </c>
      <c r="C3" s="3">
        <v>0</v>
      </c>
      <c r="D3" s="3">
        <v>2645</v>
      </c>
      <c r="E3" s="3">
        <v>1907</v>
      </c>
      <c r="F3" s="3">
        <v>2372</v>
      </c>
      <c r="G3" s="3">
        <v>273</v>
      </c>
      <c r="H3" s="3">
        <v>40</v>
      </c>
      <c r="I3" s="3">
        <v>2332</v>
      </c>
      <c r="J3" s="3">
        <v>262</v>
      </c>
      <c r="K3" s="3">
        <v>11</v>
      </c>
      <c r="L3" s="4"/>
      <c r="M3" s="4"/>
      <c r="N3" s="3">
        <v>0.89678638941398869</v>
      </c>
      <c r="O3" s="5">
        <v>0.64090786273980005</v>
      </c>
      <c r="Q3">
        <v>0.89899768696993065</v>
      </c>
      <c r="R3">
        <v>0.66552511415525117</v>
      </c>
      <c r="T3">
        <v>0.78431372549019607</v>
      </c>
      <c r="U3">
        <v>0.20304568527918782</v>
      </c>
    </row>
    <row r="4" spans="1:21" x14ac:dyDescent="0.3">
      <c r="A4" s="3">
        <v>4552</v>
      </c>
      <c r="B4" s="3" t="s">
        <v>27</v>
      </c>
      <c r="C4" s="3">
        <v>0</v>
      </c>
      <c r="D4" s="3">
        <v>2772</v>
      </c>
      <c r="E4" s="3">
        <v>1780</v>
      </c>
      <c r="F4" s="3">
        <v>2474</v>
      </c>
      <c r="G4" s="3">
        <v>298</v>
      </c>
      <c r="H4" s="3">
        <v>31</v>
      </c>
      <c r="I4" s="3">
        <v>2443</v>
      </c>
      <c r="J4" s="3">
        <v>290</v>
      </c>
      <c r="K4" s="3">
        <v>8</v>
      </c>
      <c r="L4" s="4"/>
      <c r="M4" s="4"/>
      <c r="N4" s="3">
        <v>0.89249639249639245</v>
      </c>
      <c r="O4" s="5">
        <v>0.66846798162658738</v>
      </c>
      <c r="Q4">
        <v>0.89388949871935597</v>
      </c>
      <c r="R4">
        <v>0.69720319634703198</v>
      </c>
      <c r="T4">
        <v>0.79487179487179482</v>
      </c>
      <c r="U4">
        <v>0.15736040609137056</v>
      </c>
    </row>
    <row r="5" spans="1:21" x14ac:dyDescent="0.3">
      <c r="A5" s="3">
        <v>4552</v>
      </c>
      <c r="B5" s="3" t="s">
        <v>25</v>
      </c>
      <c r="C5" s="3">
        <v>0</v>
      </c>
      <c r="D5" s="3">
        <v>2642</v>
      </c>
      <c r="E5" s="3">
        <v>1910</v>
      </c>
      <c r="F5" s="3">
        <v>2358</v>
      </c>
      <c r="G5" s="3">
        <v>284</v>
      </c>
      <c r="H5" s="3">
        <v>56</v>
      </c>
      <c r="I5" s="3">
        <v>2302</v>
      </c>
      <c r="J5" s="3">
        <v>261</v>
      </c>
      <c r="K5" s="3">
        <v>23</v>
      </c>
      <c r="L5" s="4"/>
      <c r="M5" s="4"/>
      <c r="N5" s="3">
        <v>0.89250567751703258</v>
      </c>
      <c r="O5" s="5">
        <v>0.63712510132396649</v>
      </c>
      <c r="Q5">
        <v>0.89816621147093245</v>
      </c>
      <c r="R5">
        <v>0.65696347031963476</v>
      </c>
      <c r="T5">
        <v>0.70886075949367089</v>
      </c>
      <c r="U5">
        <v>0.28426395939086296</v>
      </c>
    </row>
    <row r="6" spans="1:21" x14ac:dyDescent="0.3">
      <c r="A6" s="3">
        <v>4552</v>
      </c>
      <c r="B6" s="3" t="s">
        <v>28</v>
      </c>
      <c r="C6" s="3">
        <v>0</v>
      </c>
      <c r="D6" s="3">
        <v>2895</v>
      </c>
      <c r="E6" s="3">
        <v>1657</v>
      </c>
      <c r="F6" s="3">
        <v>2570</v>
      </c>
      <c r="G6" s="3">
        <v>325</v>
      </c>
      <c r="H6" s="3">
        <v>51</v>
      </c>
      <c r="I6" s="3">
        <v>2519</v>
      </c>
      <c r="J6" s="3">
        <v>303</v>
      </c>
      <c r="K6" s="3">
        <v>22</v>
      </c>
      <c r="L6" s="4"/>
      <c r="M6" s="4"/>
      <c r="N6" s="3">
        <v>0.88773747841105355</v>
      </c>
      <c r="O6" s="5">
        <v>0.69440691704944613</v>
      </c>
      <c r="Q6">
        <v>0.89262934089298374</v>
      </c>
      <c r="R6">
        <v>0.71889269406392697</v>
      </c>
      <c r="T6">
        <v>0.69863013698630139</v>
      </c>
      <c r="U6">
        <v>0.25888324873096447</v>
      </c>
    </row>
    <row r="7" spans="1:21" x14ac:dyDescent="0.3">
      <c r="A7" s="3">
        <v>4552</v>
      </c>
      <c r="B7" s="3" t="s">
        <v>29</v>
      </c>
      <c r="C7" s="3">
        <v>0</v>
      </c>
      <c r="D7" s="3">
        <v>2690</v>
      </c>
      <c r="E7" s="3">
        <v>1862</v>
      </c>
      <c r="F7" s="3">
        <v>2405</v>
      </c>
      <c r="G7" s="3">
        <v>285</v>
      </c>
      <c r="H7" s="3">
        <v>40</v>
      </c>
      <c r="I7" s="3">
        <v>2365</v>
      </c>
      <c r="J7" s="3">
        <v>274</v>
      </c>
      <c r="K7" s="3">
        <v>11</v>
      </c>
      <c r="L7" s="4"/>
      <c r="M7" s="4"/>
      <c r="N7" s="3">
        <v>0.89405204460966547</v>
      </c>
      <c r="O7" s="5">
        <v>0.64982437179140773</v>
      </c>
      <c r="Q7">
        <v>0.89617279272451689</v>
      </c>
      <c r="R7">
        <v>0.67494292237442921</v>
      </c>
      <c r="T7">
        <v>0.78431372549019607</v>
      </c>
      <c r="U7">
        <v>0.20304568527918782</v>
      </c>
    </row>
    <row r="8" spans="1:21" x14ac:dyDescent="0.3">
      <c r="A8" s="3">
        <v>4552</v>
      </c>
      <c r="B8" s="3" t="s">
        <v>30</v>
      </c>
      <c r="C8" s="3">
        <v>0</v>
      </c>
      <c r="D8" s="3">
        <v>2739</v>
      </c>
      <c r="E8" s="3">
        <v>1813</v>
      </c>
      <c r="F8" s="3">
        <v>2430</v>
      </c>
      <c r="G8" s="3">
        <v>309</v>
      </c>
      <c r="H8" s="3">
        <v>78</v>
      </c>
      <c r="I8" s="3">
        <v>2352</v>
      </c>
      <c r="J8" s="3">
        <v>269</v>
      </c>
      <c r="K8" s="3">
        <v>40</v>
      </c>
      <c r="L8" s="4"/>
      <c r="M8" s="4"/>
      <c r="N8" s="3">
        <v>0.88718510405257389</v>
      </c>
      <c r="O8" s="5">
        <v>0.65657930289111055</v>
      </c>
      <c r="Q8">
        <v>0.89736741701640599</v>
      </c>
      <c r="R8">
        <v>0.67123287671232879</v>
      </c>
      <c r="T8">
        <v>0.66101694915254239</v>
      </c>
      <c r="U8">
        <v>0.39593908629441626</v>
      </c>
    </row>
    <row r="9" spans="1:21" x14ac:dyDescent="0.3">
      <c r="A9" s="3">
        <v>4552</v>
      </c>
      <c r="B9" s="3" t="s">
        <v>31</v>
      </c>
      <c r="C9" s="3">
        <v>0</v>
      </c>
      <c r="D9" s="3">
        <v>2891</v>
      </c>
      <c r="E9" s="3">
        <v>1661</v>
      </c>
      <c r="F9" s="3">
        <v>2571</v>
      </c>
      <c r="G9" s="3">
        <v>320</v>
      </c>
      <c r="H9" s="3">
        <v>40</v>
      </c>
      <c r="I9" s="3">
        <v>2531</v>
      </c>
      <c r="J9" s="3">
        <v>309</v>
      </c>
      <c r="K9" s="3">
        <v>11</v>
      </c>
      <c r="L9" s="4"/>
      <c r="M9" s="4"/>
      <c r="N9" s="3">
        <v>0.88931165686613634</v>
      </c>
      <c r="O9" s="5">
        <v>0.69467711429343426</v>
      </c>
      <c r="Q9">
        <v>0.89119718309859153</v>
      </c>
      <c r="R9">
        <v>0.72231735159817356</v>
      </c>
      <c r="T9">
        <v>0.78431372549019607</v>
      </c>
      <c r="U9">
        <v>0.20304568527918782</v>
      </c>
    </row>
    <row r="10" spans="1:21" x14ac:dyDescent="0.3">
      <c r="A10" s="3">
        <v>4552</v>
      </c>
      <c r="B10" s="3" t="s">
        <v>32</v>
      </c>
      <c r="C10" s="3">
        <v>0</v>
      </c>
      <c r="D10" s="3">
        <v>2641</v>
      </c>
      <c r="E10" s="3">
        <v>1911</v>
      </c>
      <c r="F10" s="3">
        <v>2346</v>
      </c>
      <c r="G10" s="3">
        <v>295</v>
      </c>
      <c r="H10" s="3">
        <v>92</v>
      </c>
      <c r="I10" s="3">
        <v>2254</v>
      </c>
      <c r="J10" s="3">
        <v>252</v>
      </c>
      <c r="K10" s="3">
        <v>43</v>
      </c>
      <c r="L10" s="4"/>
      <c r="M10" s="4"/>
      <c r="N10" s="3">
        <v>0.88829988640666413</v>
      </c>
      <c r="O10" s="5">
        <v>0.6338827343961092</v>
      </c>
      <c r="Q10">
        <v>0.8994413407821229</v>
      </c>
      <c r="R10">
        <v>0.6432648401826484</v>
      </c>
      <c r="T10">
        <v>0.68148148148148147</v>
      </c>
      <c r="U10">
        <v>0.46700507614213199</v>
      </c>
    </row>
    <row r="11" spans="1:21" x14ac:dyDescent="0.3">
      <c r="A11" s="3">
        <v>4552</v>
      </c>
      <c r="B11" s="3" t="s">
        <v>33</v>
      </c>
      <c r="C11" s="3">
        <v>0</v>
      </c>
      <c r="D11" s="3">
        <v>2901</v>
      </c>
      <c r="E11" s="3">
        <v>1651</v>
      </c>
      <c r="F11" s="3">
        <v>2557</v>
      </c>
      <c r="G11" s="3">
        <v>344</v>
      </c>
      <c r="H11" s="3">
        <v>106</v>
      </c>
      <c r="I11" s="3">
        <v>2451</v>
      </c>
      <c r="J11" s="3">
        <v>290</v>
      </c>
      <c r="K11" s="3">
        <v>54</v>
      </c>
      <c r="L11" s="4"/>
      <c r="M11" s="4"/>
      <c r="N11" s="3">
        <v>0.88142019993105825</v>
      </c>
      <c r="O11" s="5">
        <v>0.6908943528776007</v>
      </c>
      <c r="Q11">
        <v>0.8941991973732214</v>
      </c>
      <c r="R11">
        <v>0.69948630136986301</v>
      </c>
      <c r="T11">
        <v>0.66249999999999998</v>
      </c>
      <c r="U11">
        <v>0.53807106598984766</v>
      </c>
    </row>
    <row r="12" spans="1:21" x14ac:dyDescent="0.3">
      <c r="D12" s="6">
        <f>AVERAGE(D2:D11)</f>
        <v>2750.3</v>
      </c>
      <c r="F12" s="6">
        <f>AVERAGE(F2:F11)</f>
        <v>2448.6</v>
      </c>
      <c r="H12" s="6">
        <f>AVERAGE(H2:H11)</f>
        <v>56.5</v>
      </c>
      <c r="I12" s="6">
        <f>AVERAGE(I2:I11)</f>
        <v>2392.1</v>
      </c>
      <c r="N12" s="6">
        <f>AVERAGE(N2:N11)</f>
        <v>0.89041007470845435</v>
      </c>
      <c r="O12" s="6">
        <f>AVERAGE(O2:O11)</f>
        <v>0.66160497162928944</v>
      </c>
      <c r="P12" s="7" t="s">
        <v>12</v>
      </c>
      <c r="Q12" s="6">
        <f t="shared" ref="Q12:R12" si="0">AVERAGE(Q2:Q11)</f>
        <v>0.89578310617973078</v>
      </c>
      <c r="R12" s="6">
        <f t="shared" si="0"/>
        <v>0.68267694063926931</v>
      </c>
      <c r="T12" s="6">
        <f t="shared" ref="T12:U12" si="1">AVERAGE(T2:T11)</f>
        <v>0.7355174093328174</v>
      </c>
      <c r="U12" s="6">
        <f t="shared" si="1"/>
        <v>0.28680203045685276</v>
      </c>
    </row>
    <row r="13" spans="1:21" x14ac:dyDescent="0.3">
      <c r="I13">
        <f>I12+J13</f>
        <v>2670.7</v>
      </c>
      <c r="J13" s="6">
        <f>AVERAGE(J2:J11)</f>
        <v>278.60000000000002</v>
      </c>
      <c r="K13" s="6">
        <f>AVERAGE(K2:K11)</f>
        <v>23.1</v>
      </c>
      <c r="N13" s="5">
        <f>STDEV(N2:N11)</f>
        <v>4.4952279486010884E-3</v>
      </c>
      <c r="O13" s="5">
        <f>STDEV(O2:O11)</f>
        <v>2.4006264431560349E-2</v>
      </c>
      <c r="P13" s="2" t="s">
        <v>14</v>
      </c>
    </row>
    <row r="14" spans="1:21" x14ac:dyDescent="0.3">
      <c r="N14" s="5">
        <f>MIN(N2:N11)</f>
        <v>0.88142019993105825</v>
      </c>
      <c r="O14" s="5">
        <f>MIN(O2:O11)</f>
        <v>0.6338827343961092</v>
      </c>
      <c r="P14" s="2" t="s">
        <v>15</v>
      </c>
    </row>
    <row r="15" spans="1:21" x14ac:dyDescent="0.3">
      <c r="N15" s="5">
        <f>MAX(N2:N11)</f>
        <v>0.89678638941398869</v>
      </c>
      <c r="O15" s="5">
        <f>MAX(O2:O11)</f>
        <v>0.69467711429343426</v>
      </c>
      <c r="P1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6E10-CCB5-4281-A2FA-CB15A328DD34}">
  <dimension ref="A1:U15"/>
  <sheetViews>
    <sheetView workbookViewId="0">
      <selection activeCell="N2" sqref="N2:U11"/>
    </sheetView>
  </sheetViews>
  <sheetFormatPr defaultRowHeight="14.4" x14ac:dyDescent="0.3"/>
  <cols>
    <col min="14" max="14" width="12" bestFit="1" customWidth="1"/>
    <col min="15" max="15" width="10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11</v>
      </c>
      <c r="O1" s="2" t="s">
        <v>13</v>
      </c>
      <c r="Q1" s="8" t="s">
        <v>65</v>
      </c>
      <c r="R1" s="8" t="s">
        <v>66</v>
      </c>
      <c r="T1" s="8" t="s">
        <v>67</v>
      </c>
      <c r="U1" s="8" t="s">
        <v>68</v>
      </c>
    </row>
    <row r="2" spans="1:21" x14ac:dyDescent="0.3">
      <c r="A2" s="3">
        <v>4552</v>
      </c>
      <c r="B2" s="3" t="s">
        <v>34</v>
      </c>
      <c r="C2" s="3">
        <v>0</v>
      </c>
      <c r="D2" s="3">
        <v>3405</v>
      </c>
      <c r="E2" s="3">
        <v>1147</v>
      </c>
      <c r="F2" s="3">
        <v>2969</v>
      </c>
      <c r="G2" s="3">
        <v>436</v>
      </c>
      <c r="H2" s="3">
        <v>40</v>
      </c>
      <c r="I2" s="3">
        <v>2929</v>
      </c>
      <c r="J2" s="3">
        <v>424</v>
      </c>
      <c r="K2" s="3">
        <v>12</v>
      </c>
      <c r="L2" s="4"/>
      <c r="M2" s="4"/>
      <c r="N2" s="3">
        <v>0.87195301027900152</v>
      </c>
      <c r="O2" s="5">
        <v>0.80221561740070246</v>
      </c>
      <c r="Q2">
        <v>0.87354607813898</v>
      </c>
      <c r="R2">
        <v>0.83590182648401823</v>
      </c>
      <c r="T2">
        <v>0.76923076923076927</v>
      </c>
      <c r="U2">
        <v>0.20304568527918782</v>
      </c>
    </row>
    <row r="3" spans="1:21" x14ac:dyDescent="0.3">
      <c r="A3" s="3">
        <v>4552</v>
      </c>
      <c r="B3" s="3" t="s">
        <v>35</v>
      </c>
      <c r="C3" s="3">
        <v>0</v>
      </c>
      <c r="D3" s="3">
        <v>3515</v>
      </c>
      <c r="E3" s="3">
        <v>1037</v>
      </c>
      <c r="F3" s="3">
        <v>3039</v>
      </c>
      <c r="G3" s="3">
        <v>476</v>
      </c>
      <c r="H3" s="3">
        <v>70</v>
      </c>
      <c r="I3" s="3">
        <v>2969</v>
      </c>
      <c r="J3" s="3">
        <v>443</v>
      </c>
      <c r="K3" s="3">
        <v>33</v>
      </c>
      <c r="L3" s="4"/>
      <c r="M3" s="4"/>
      <c r="N3" s="3">
        <v>0.86458036984352771</v>
      </c>
      <c r="O3" s="5">
        <v>0.82112942447987025</v>
      </c>
      <c r="Q3">
        <v>0.87016412661195774</v>
      </c>
      <c r="R3">
        <v>0.84731735159817356</v>
      </c>
      <c r="T3">
        <v>0.67961165048543692</v>
      </c>
      <c r="U3">
        <v>0.35532994923857869</v>
      </c>
    </row>
    <row r="4" spans="1:21" x14ac:dyDescent="0.3">
      <c r="A4" s="3">
        <v>4552</v>
      </c>
      <c r="B4" s="3" t="s">
        <v>36</v>
      </c>
      <c r="C4" s="3">
        <v>0</v>
      </c>
      <c r="D4" s="3">
        <v>3523</v>
      </c>
      <c r="E4" s="3">
        <v>1029</v>
      </c>
      <c r="F4" s="3">
        <v>3052</v>
      </c>
      <c r="G4" s="3">
        <v>471</v>
      </c>
      <c r="H4" s="3">
        <v>47</v>
      </c>
      <c r="I4" s="3">
        <v>3005</v>
      </c>
      <c r="J4" s="3">
        <v>453</v>
      </c>
      <c r="K4" s="3">
        <v>18</v>
      </c>
      <c r="L4" s="4"/>
      <c r="M4" s="4"/>
      <c r="N4" s="3">
        <v>0.8663071246097076</v>
      </c>
      <c r="O4" s="5">
        <v>0.82464198865171578</v>
      </c>
      <c r="Q4">
        <v>0.86899942163100052</v>
      </c>
      <c r="R4">
        <v>0.85759132420091322</v>
      </c>
      <c r="T4">
        <v>0.72307692307692306</v>
      </c>
      <c r="U4">
        <v>0.23857868020304568</v>
      </c>
    </row>
    <row r="5" spans="1:21" x14ac:dyDescent="0.3">
      <c r="A5" s="3">
        <v>4552</v>
      </c>
      <c r="B5" s="3" t="s">
        <v>37</v>
      </c>
      <c r="C5" s="3">
        <v>0</v>
      </c>
      <c r="D5" s="3">
        <v>3609</v>
      </c>
      <c r="E5" s="3">
        <v>943</v>
      </c>
      <c r="F5" s="3">
        <v>3105</v>
      </c>
      <c r="G5" s="3">
        <v>504</v>
      </c>
      <c r="H5" s="3">
        <v>108</v>
      </c>
      <c r="I5" s="3">
        <v>2997</v>
      </c>
      <c r="J5" s="3">
        <v>450</v>
      </c>
      <c r="K5" s="3">
        <v>54</v>
      </c>
      <c r="L5" s="4"/>
      <c r="M5" s="4"/>
      <c r="N5" s="3">
        <v>0.86034912718204493</v>
      </c>
      <c r="O5" s="5">
        <v>0.83896244258308561</v>
      </c>
      <c r="Q5">
        <v>0.86945169712793735</v>
      </c>
      <c r="R5">
        <v>0.8553082191780822</v>
      </c>
      <c r="T5">
        <v>0.66666666666666663</v>
      </c>
      <c r="U5">
        <v>0.54822335025380708</v>
      </c>
    </row>
    <row r="6" spans="1:21" x14ac:dyDescent="0.3">
      <c r="A6" s="3">
        <v>4552</v>
      </c>
      <c r="B6" s="3" t="s">
        <v>38</v>
      </c>
      <c r="C6" s="3">
        <v>0</v>
      </c>
      <c r="D6" s="3">
        <v>3564</v>
      </c>
      <c r="E6" s="3">
        <v>988</v>
      </c>
      <c r="F6" s="3">
        <v>3075</v>
      </c>
      <c r="G6" s="3">
        <v>489</v>
      </c>
      <c r="H6" s="3">
        <v>87</v>
      </c>
      <c r="I6" s="3">
        <v>2988</v>
      </c>
      <c r="J6" s="3">
        <v>448</v>
      </c>
      <c r="K6" s="3">
        <v>41</v>
      </c>
      <c r="L6" s="4"/>
      <c r="M6" s="4"/>
      <c r="N6" s="3">
        <v>0.86279461279461278</v>
      </c>
      <c r="O6" s="5">
        <v>0.83085652526344234</v>
      </c>
      <c r="Q6">
        <v>0.86961583236321305</v>
      </c>
      <c r="R6">
        <v>0.85273972602739723</v>
      </c>
      <c r="T6">
        <v>0.6796875</v>
      </c>
      <c r="U6">
        <v>0.44162436548223349</v>
      </c>
    </row>
    <row r="7" spans="1:21" x14ac:dyDescent="0.3">
      <c r="A7" s="3">
        <v>4552</v>
      </c>
      <c r="B7" s="3" t="s">
        <v>39</v>
      </c>
      <c r="C7" s="3">
        <v>0</v>
      </c>
      <c r="D7" s="3">
        <v>3529</v>
      </c>
      <c r="E7" s="3">
        <v>1023</v>
      </c>
      <c r="F7" s="3">
        <v>3051</v>
      </c>
      <c r="G7" s="3">
        <v>478</v>
      </c>
      <c r="H7" s="3">
        <v>61</v>
      </c>
      <c r="I7" s="3">
        <v>2990</v>
      </c>
      <c r="J7" s="3">
        <v>448</v>
      </c>
      <c r="K7" s="3">
        <v>30</v>
      </c>
      <c r="L7" s="4"/>
      <c r="M7" s="4"/>
      <c r="N7" s="3">
        <v>0.86455086426749783</v>
      </c>
      <c r="O7" s="5">
        <v>0.82437179140772765</v>
      </c>
      <c r="Q7">
        <v>0.86969168121000584</v>
      </c>
      <c r="R7">
        <v>0.85331050228310501</v>
      </c>
      <c r="T7">
        <v>0.67032967032967028</v>
      </c>
      <c r="U7">
        <v>0.30964467005076141</v>
      </c>
    </row>
    <row r="8" spans="1:21" x14ac:dyDescent="0.3">
      <c r="A8" s="3">
        <v>4552</v>
      </c>
      <c r="B8" s="3" t="s">
        <v>40</v>
      </c>
      <c r="C8" s="3">
        <v>0</v>
      </c>
      <c r="D8" s="3">
        <v>3384</v>
      </c>
      <c r="E8" s="3">
        <v>1168</v>
      </c>
      <c r="F8" s="3">
        <v>2938</v>
      </c>
      <c r="G8" s="3">
        <v>446</v>
      </c>
      <c r="H8" s="3">
        <v>116</v>
      </c>
      <c r="I8" s="3">
        <v>2822</v>
      </c>
      <c r="J8" s="3">
        <v>385</v>
      </c>
      <c r="K8" s="3">
        <v>61</v>
      </c>
      <c r="L8" s="4"/>
      <c r="M8" s="4"/>
      <c r="N8" s="3">
        <v>0.86820330969267134</v>
      </c>
      <c r="O8" s="5">
        <v>0.79383950283707105</v>
      </c>
      <c r="Q8">
        <v>0.87995010913626437</v>
      </c>
      <c r="R8">
        <v>0.80536529680365299</v>
      </c>
      <c r="T8">
        <v>0.65536723163841804</v>
      </c>
      <c r="U8">
        <v>0.58883248730964466</v>
      </c>
    </row>
    <row r="9" spans="1:21" x14ac:dyDescent="0.3">
      <c r="A9" s="3">
        <v>4552</v>
      </c>
      <c r="B9" s="3" t="s">
        <v>41</v>
      </c>
      <c r="C9" s="3">
        <v>0</v>
      </c>
      <c r="D9" s="3">
        <v>3704</v>
      </c>
      <c r="E9" s="3">
        <v>848</v>
      </c>
      <c r="F9" s="3">
        <v>3181</v>
      </c>
      <c r="G9" s="3">
        <v>523</v>
      </c>
      <c r="H9" s="3">
        <v>71</v>
      </c>
      <c r="I9" s="3">
        <v>3110</v>
      </c>
      <c r="J9" s="3">
        <v>487</v>
      </c>
      <c r="K9" s="3">
        <v>36</v>
      </c>
      <c r="L9" s="4"/>
      <c r="M9" s="4"/>
      <c r="N9" s="3">
        <v>0.85880129589632825</v>
      </c>
      <c r="O9" s="5">
        <v>0.8594974331261821</v>
      </c>
      <c r="Q9">
        <v>0.86460939671948844</v>
      </c>
      <c r="R9">
        <v>0.88755707762557079</v>
      </c>
      <c r="T9">
        <v>0.66355140186915884</v>
      </c>
      <c r="U9">
        <v>0.3604060913705584</v>
      </c>
    </row>
    <row r="10" spans="1:21" x14ac:dyDescent="0.3">
      <c r="A10" s="3">
        <v>4552</v>
      </c>
      <c r="B10" s="3" t="s">
        <v>40</v>
      </c>
      <c r="C10" s="3">
        <v>0</v>
      </c>
      <c r="D10" s="3">
        <v>3337</v>
      </c>
      <c r="E10" s="3">
        <v>1215</v>
      </c>
      <c r="F10" s="3">
        <v>2891</v>
      </c>
      <c r="G10" s="3">
        <v>446</v>
      </c>
      <c r="H10" s="3">
        <v>123</v>
      </c>
      <c r="I10" s="3">
        <v>2768</v>
      </c>
      <c r="J10" s="3">
        <v>374</v>
      </c>
      <c r="K10" s="3">
        <v>72</v>
      </c>
      <c r="L10" s="4"/>
      <c r="M10" s="4"/>
      <c r="N10" s="3">
        <v>0.86634701827989213</v>
      </c>
      <c r="O10" s="5">
        <v>0.78114023236962982</v>
      </c>
      <c r="Q10">
        <v>0.88096753660089111</v>
      </c>
      <c r="R10">
        <v>0.78995433789954339</v>
      </c>
      <c r="T10">
        <v>0.63076923076923075</v>
      </c>
      <c r="U10">
        <v>0.62436548223350252</v>
      </c>
    </row>
    <row r="11" spans="1:21" x14ac:dyDescent="0.3">
      <c r="A11" s="3">
        <v>4552</v>
      </c>
      <c r="B11" s="3" t="s">
        <v>42</v>
      </c>
      <c r="C11" s="3">
        <v>0</v>
      </c>
      <c r="D11" s="3">
        <v>3488</v>
      </c>
      <c r="E11" s="3">
        <v>1064</v>
      </c>
      <c r="F11" s="3">
        <v>3002</v>
      </c>
      <c r="G11" s="3">
        <v>486</v>
      </c>
      <c r="H11" s="3">
        <v>138</v>
      </c>
      <c r="I11" s="3">
        <v>2864</v>
      </c>
      <c r="J11" s="3">
        <v>397</v>
      </c>
      <c r="K11" s="3">
        <v>89</v>
      </c>
      <c r="L11" s="4"/>
      <c r="M11" s="4"/>
      <c r="N11" s="3">
        <v>0.86066513761467889</v>
      </c>
      <c r="O11" s="5">
        <v>0.81113212645231014</v>
      </c>
      <c r="Q11">
        <v>0.87825820300521318</v>
      </c>
      <c r="R11">
        <v>0.81735159817351599</v>
      </c>
      <c r="T11">
        <v>0.60792951541850215</v>
      </c>
      <c r="U11">
        <v>0.70050761421319796</v>
      </c>
    </row>
    <row r="12" spans="1:21" x14ac:dyDescent="0.3">
      <c r="D12" s="6">
        <f>AVERAGE(D2:D11)</f>
        <v>3505.8</v>
      </c>
      <c r="F12" s="6">
        <f>AVERAGE(F2:F11)</f>
        <v>3030.3</v>
      </c>
      <c r="H12" s="6">
        <f>AVERAGE(H2:H11)</f>
        <v>86.1</v>
      </c>
      <c r="I12" s="6">
        <f>AVERAGE(I2:I11)</f>
        <v>2944.2</v>
      </c>
      <c r="N12" s="6">
        <f>AVERAGE(N2:N11)</f>
        <v>0.86445518704599633</v>
      </c>
      <c r="O12" s="6">
        <f>AVERAGE(O2:O11)</f>
        <v>0.81877870845717382</v>
      </c>
      <c r="P12" s="7" t="s">
        <v>12</v>
      </c>
      <c r="Q12" s="6">
        <f t="shared" ref="Q12:R12" si="0">AVERAGE(Q2:Q11)</f>
        <v>0.87252540825449521</v>
      </c>
      <c r="R12" s="6">
        <f t="shared" si="0"/>
        <v>0.84023972602739738</v>
      </c>
      <c r="T12" s="6">
        <f t="shared" ref="T12:U12" si="1">AVERAGE(T2:T11)</f>
        <v>0.67462205594847746</v>
      </c>
      <c r="U12" s="6">
        <f t="shared" si="1"/>
        <v>0.43705583756345179</v>
      </c>
    </row>
    <row r="13" spans="1:21" x14ac:dyDescent="0.3">
      <c r="J13" s="6">
        <f>AVERAGE(J2:J11)</f>
        <v>430.9</v>
      </c>
      <c r="K13" s="6">
        <f>AVERAGE(K2:K11)</f>
        <v>44.6</v>
      </c>
      <c r="N13" s="5">
        <f>STDEV(N2:N11)</f>
        <v>3.9895348364841626E-3</v>
      </c>
      <c r="O13" s="5">
        <f>STDEV(O2:O11)</f>
        <v>2.2739791064585641E-2</v>
      </c>
      <c r="P13" s="2" t="s">
        <v>14</v>
      </c>
    </row>
    <row r="14" spans="1:21" x14ac:dyDescent="0.3">
      <c r="N14" s="5">
        <f>MIN(N2:N11)</f>
        <v>0.85880129589632825</v>
      </c>
      <c r="O14" s="5">
        <f>MIN(O2:O11)</f>
        <v>0.78114023236962982</v>
      </c>
      <c r="P14" s="2" t="s">
        <v>15</v>
      </c>
    </row>
    <row r="15" spans="1:21" x14ac:dyDescent="0.3">
      <c r="N15" s="5">
        <f>MAX(N2:N11)</f>
        <v>0.87195301027900152</v>
      </c>
      <c r="O15" s="5">
        <f>MAX(O2:O11)</f>
        <v>0.8594974331261821</v>
      </c>
      <c r="P15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4A44-7E98-4787-AD64-665D6EB42FFE}">
  <dimension ref="A1:U20"/>
  <sheetViews>
    <sheetView workbookViewId="0">
      <selection activeCell="R17" sqref="R17"/>
    </sheetView>
  </sheetViews>
  <sheetFormatPr defaultRowHeight="14.4" x14ac:dyDescent="0.3"/>
  <cols>
    <col min="14" max="15" width="12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11</v>
      </c>
      <c r="O1" s="2" t="s">
        <v>13</v>
      </c>
      <c r="Q1" s="8" t="s">
        <v>65</v>
      </c>
      <c r="R1" s="8" t="s">
        <v>66</v>
      </c>
      <c r="T1" s="8" t="s">
        <v>67</v>
      </c>
      <c r="U1" s="8" t="s">
        <v>68</v>
      </c>
    </row>
    <row r="2" spans="1:21" x14ac:dyDescent="0.3">
      <c r="A2">
        <v>4783</v>
      </c>
      <c r="B2">
        <v>0.95295839431319251</v>
      </c>
      <c r="C2">
        <v>0</v>
      </c>
      <c r="D2">
        <v>2525</v>
      </c>
      <c r="E2">
        <v>2258</v>
      </c>
      <c r="F2">
        <v>2300</v>
      </c>
      <c r="G2">
        <v>225</v>
      </c>
      <c r="H2">
        <v>2</v>
      </c>
      <c r="I2">
        <v>2298</v>
      </c>
      <c r="J2">
        <v>222</v>
      </c>
      <c r="K2">
        <v>3</v>
      </c>
      <c r="N2" s="3">
        <v>0.91089108910891092</v>
      </c>
      <c r="O2" s="5">
        <v>0.5624847150892639</v>
      </c>
      <c r="Q2">
        <v>0.91190476190476188</v>
      </c>
      <c r="R2">
        <v>0.56503565281534296</v>
      </c>
      <c r="T2">
        <v>0.4</v>
      </c>
      <c r="U2">
        <v>8.6956521739130432E-2</v>
      </c>
    </row>
    <row r="3" spans="1:21" x14ac:dyDescent="0.3">
      <c r="A3" s="3">
        <v>4783</v>
      </c>
      <c r="B3" s="3" t="s">
        <v>43</v>
      </c>
      <c r="C3" s="3">
        <v>0</v>
      </c>
      <c r="D3" s="3">
        <v>3447</v>
      </c>
      <c r="E3" s="3">
        <v>1336</v>
      </c>
      <c r="F3" s="3">
        <v>3089</v>
      </c>
      <c r="G3" s="3">
        <v>358</v>
      </c>
      <c r="H3" s="3">
        <v>1</v>
      </c>
      <c r="I3" s="3">
        <v>3088</v>
      </c>
      <c r="J3" s="3">
        <v>355</v>
      </c>
      <c r="K3" s="3">
        <v>3</v>
      </c>
      <c r="N3" s="3">
        <v>0.89614157238178127</v>
      </c>
      <c r="O3" s="5">
        <v>0.75544142822205917</v>
      </c>
      <c r="Q3">
        <v>0.89689224513505661</v>
      </c>
      <c r="R3">
        <v>0.75928202606343742</v>
      </c>
      <c r="T3">
        <v>0.25</v>
      </c>
      <c r="U3">
        <v>4.3478260869565216E-2</v>
      </c>
    </row>
    <row r="4" spans="1:21" x14ac:dyDescent="0.3">
      <c r="A4">
        <v>4783</v>
      </c>
      <c r="B4">
        <v>0.96090319882918673</v>
      </c>
      <c r="C4">
        <v>0</v>
      </c>
      <c r="D4">
        <v>2272</v>
      </c>
      <c r="E4">
        <v>2511</v>
      </c>
      <c r="F4">
        <v>2085</v>
      </c>
      <c r="G4">
        <v>187</v>
      </c>
      <c r="H4">
        <v>0</v>
      </c>
      <c r="I4">
        <v>2085</v>
      </c>
      <c r="J4">
        <v>185</v>
      </c>
      <c r="K4">
        <v>4</v>
      </c>
      <c r="N4" s="3">
        <v>0.917693661971831</v>
      </c>
      <c r="O4" s="5">
        <v>0.5099046221570066</v>
      </c>
      <c r="Q4">
        <v>0.91850220264317184</v>
      </c>
      <c r="R4">
        <v>0.51266289648389474</v>
      </c>
      <c r="T4">
        <v>0</v>
      </c>
      <c r="U4">
        <v>0</v>
      </c>
    </row>
    <row r="5" spans="1:21" x14ac:dyDescent="0.3">
      <c r="A5" s="3">
        <v>4783</v>
      </c>
      <c r="B5" s="3" t="s">
        <v>44</v>
      </c>
      <c r="C5" s="3">
        <v>0</v>
      </c>
      <c r="D5" s="3">
        <v>2494</v>
      </c>
      <c r="E5" s="3">
        <v>2289</v>
      </c>
      <c r="F5" s="3">
        <v>2276</v>
      </c>
      <c r="G5" s="3">
        <v>218</v>
      </c>
      <c r="H5" s="3">
        <v>0</v>
      </c>
      <c r="I5" s="3">
        <v>2276</v>
      </c>
      <c r="J5" s="3">
        <v>216</v>
      </c>
      <c r="K5" s="3">
        <v>3</v>
      </c>
      <c r="N5" s="3">
        <v>0.91259021651964711</v>
      </c>
      <c r="O5" s="5">
        <v>0.55661530936659331</v>
      </c>
      <c r="Q5">
        <v>0.913322632423756</v>
      </c>
      <c r="R5">
        <v>0.5596262601426113</v>
      </c>
      <c r="T5">
        <v>0</v>
      </c>
      <c r="U5">
        <v>0</v>
      </c>
    </row>
    <row r="6" spans="1:21" x14ac:dyDescent="0.3">
      <c r="A6" s="3">
        <v>4783</v>
      </c>
      <c r="B6" s="3" t="s">
        <v>45</v>
      </c>
      <c r="C6" s="3">
        <v>0</v>
      </c>
      <c r="D6" s="3">
        <v>2723</v>
      </c>
      <c r="E6" s="3">
        <v>2060</v>
      </c>
      <c r="F6" s="3">
        <v>2464</v>
      </c>
      <c r="G6" s="3">
        <v>259</v>
      </c>
      <c r="H6" s="3">
        <v>1</v>
      </c>
      <c r="I6" s="3">
        <v>2463</v>
      </c>
      <c r="J6" s="3">
        <v>256</v>
      </c>
      <c r="K6" s="3">
        <v>3</v>
      </c>
      <c r="N6" s="3">
        <v>0.90488431876606679</v>
      </c>
      <c r="O6" s="5">
        <v>0.60259232086084613</v>
      </c>
      <c r="Q6">
        <v>0.90584773813902175</v>
      </c>
      <c r="R6">
        <v>0.60560609786083108</v>
      </c>
      <c r="T6">
        <v>0.25</v>
      </c>
      <c r="U6">
        <v>4.3478260869565216E-2</v>
      </c>
    </row>
    <row r="7" spans="1:21" x14ac:dyDescent="0.3">
      <c r="A7" s="3">
        <v>4783</v>
      </c>
      <c r="B7" s="3" t="s">
        <v>46</v>
      </c>
      <c r="C7" s="3">
        <v>0</v>
      </c>
      <c r="D7" s="3">
        <v>2367</v>
      </c>
      <c r="E7" s="3">
        <v>2416</v>
      </c>
      <c r="F7" s="3">
        <v>2166</v>
      </c>
      <c r="G7" s="3">
        <v>201</v>
      </c>
      <c r="H7" s="3">
        <v>1</v>
      </c>
      <c r="I7" s="3">
        <v>2165</v>
      </c>
      <c r="J7" s="3">
        <v>199</v>
      </c>
      <c r="K7" s="3">
        <v>2</v>
      </c>
      <c r="N7" s="3">
        <v>0.91508238276299114</v>
      </c>
      <c r="O7" s="5">
        <v>0.52971386647101981</v>
      </c>
      <c r="Q7">
        <v>0.91582064297800336</v>
      </c>
      <c r="R7">
        <v>0.53233341529382838</v>
      </c>
      <c r="T7">
        <v>0.33333333333333331</v>
      </c>
      <c r="U7">
        <v>4.3478260869565216E-2</v>
      </c>
    </row>
    <row r="8" spans="1:21" x14ac:dyDescent="0.3">
      <c r="A8" s="3">
        <v>4783</v>
      </c>
      <c r="B8" s="3" t="s">
        <v>47</v>
      </c>
      <c r="C8" s="3">
        <v>0</v>
      </c>
      <c r="D8" s="3">
        <v>2734</v>
      </c>
      <c r="E8" s="3">
        <v>2049</v>
      </c>
      <c r="F8" s="3">
        <v>2474</v>
      </c>
      <c r="G8" s="3">
        <v>260</v>
      </c>
      <c r="H8" s="3">
        <v>1</v>
      </c>
      <c r="I8" s="3">
        <v>2473</v>
      </c>
      <c r="J8" s="3">
        <v>257</v>
      </c>
      <c r="K8" s="3">
        <v>3</v>
      </c>
      <c r="N8" s="3">
        <v>0.90490124359912216</v>
      </c>
      <c r="O8" s="5">
        <v>0.60503790657862555</v>
      </c>
      <c r="Q8">
        <v>0.90586080586080586</v>
      </c>
      <c r="R8">
        <v>0.60806491271207275</v>
      </c>
      <c r="T8">
        <v>0.25</v>
      </c>
      <c r="U8">
        <v>4.3478260869565216E-2</v>
      </c>
    </row>
    <row r="9" spans="1:21" x14ac:dyDescent="0.3">
      <c r="A9">
        <v>4783</v>
      </c>
      <c r="B9">
        <v>0.94794062303993309</v>
      </c>
      <c r="C9">
        <v>0</v>
      </c>
      <c r="D9">
        <v>2678</v>
      </c>
      <c r="E9">
        <v>2105</v>
      </c>
      <c r="F9">
        <v>2429</v>
      </c>
      <c r="G9">
        <v>249</v>
      </c>
      <c r="H9">
        <v>0</v>
      </c>
      <c r="I9">
        <v>2429</v>
      </c>
      <c r="J9">
        <v>248</v>
      </c>
      <c r="K9">
        <v>5</v>
      </c>
      <c r="N9" s="3">
        <v>0.90702016430171772</v>
      </c>
      <c r="O9" s="5">
        <v>0.59403277084861827</v>
      </c>
      <c r="Q9">
        <v>0.90735898393724324</v>
      </c>
      <c r="R9">
        <v>0.59724612736660931</v>
      </c>
      <c r="T9">
        <v>0</v>
      </c>
      <c r="U9">
        <v>0</v>
      </c>
    </row>
    <row r="10" spans="1:21" x14ac:dyDescent="0.3">
      <c r="A10" s="3">
        <v>4783</v>
      </c>
      <c r="B10" s="3" t="s">
        <v>48</v>
      </c>
      <c r="C10" s="3">
        <v>0</v>
      </c>
      <c r="D10" s="3">
        <v>2287</v>
      </c>
      <c r="E10" s="3">
        <v>2496</v>
      </c>
      <c r="F10" s="3">
        <v>2097</v>
      </c>
      <c r="G10" s="3">
        <v>190</v>
      </c>
      <c r="H10" s="3">
        <v>2</v>
      </c>
      <c r="I10" s="3">
        <v>2095</v>
      </c>
      <c r="J10" s="3">
        <v>186</v>
      </c>
      <c r="K10" s="3">
        <v>4</v>
      </c>
      <c r="N10" s="3">
        <v>0.91692173152601664</v>
      </c>
      <c r="O10" s="5">
        <v>0.51283932501834184</v>
      </c>
      <c r="Q10">
        <v>0.91845681718544503</v>
      </c>
      <c r="R10">
        <v>0.51512171133513651</v>
      </c>
      <c r="T10">
        <v>0.33333333333333331</v>
      </c>
      <c r="U10">
        <v>8.6956521739130432E-2</v>
      </c>
    </row>
    <row r="11" spans="1:21" x14ac:dyDescent="0.3">
      <c r="A11">
        <v>4783</v>
      </c>
      <c r="B11">
        <v>0.94731340163077571</v>
      </c>
      <c r="C11">
        <v>0</v>
      </c>
      <c r="D11">
        <v>2686</v>
      </c>
      <c r="E11">
        <v>2097</v>
      </c>
      <c r="F11">
        <v>2434</v>
      </c>
      <c r="G11">
        <v>252</v>
      </c>
      <c r="H11">
        <v>1</v>
      </c>
      <c r="I11">
        <v>2433</v>
      </c>
      <c r="J11">
        <v>249</v>
      </c>
      <c r="K11">
        <v>3</v>
      </c>
      <c r="N11" s="3">
        <v>0.90618019359642588</v>
      </c>
      <c r="O11" s="5">
        <v>0.59525556370750798</v>
      </c>
      <c r="Q11">
        <v>0.90715883668903807</v>
      </c>
      <c r="R11">
        <v>0.59822965330710598</v>
      </c>
      <c r="T11">
        <v>0.25</v>
      </c>
      <c r="U11">
        <v>4.3478260869565216E-2</v>
      </c>
    </row>
    <row r="12" spans="1:21" x14ac:dyDescent="0.3">
      <c r="D12" s="6">
        <f>AVERAGE(D2:D11)</f>
        <v>2621.3000000000002</v>
      </c>
      <c r="F12" s="6">
        <f>AVERAGE(F2:F11)</f>
        <v>2381.4</v>
      </c>
      <c r="H12" s="6">
        <f>AVERAGE(H2:H11)</f>
        <v>0.9</v>
      </c>
      <c r="I12" s="6">
        <f>AVERAGE(I2:I11)</f>
        <v>2380.5</v>
      </c>
      <c r="N12" s="6">
        <f>AVERAGE(N2:N11)</f>
        <v>0.909230657453451</v>
      </c>
      <c r="O12" s="6">
        <f>AVERAGE(O2:O11)</f>
        <v>0.58239178283198823</v>
      </c>
      <c r="P12" s="7" t="s">
        <v>12</v>
      </c>
      <c r="Q12" s="6">
        <f t="shared" ref="Q12:R12" si="0">AVERAGE(Q2:Q11)</f>
        <v>0.91011256668963048</v>
      </c>
      <c r="R12" s="6">
        <f t="shared" si="0"/>
        <v>0.58532087533808697</v>
      </c>
      <c r="T12" s="6">
        <f t="shared" ref="T12:U12" si="1">AVERAGE(T2:T11)</f>
        <v>0.20666666666666664</v>
      </c>
      <c r="U12" s="6">
        <f t="shared" si="1"/>
        <v>3.9130434782608692E-2</v>
      </c>
    </row>
    <row r="13" spans="1:21" x14ac:dyDescent="0.3">
      <c r="I13">
        <f>I12+J13</f>
        <v>2617.8000000000002</v>
      </c>
      <c r="J13" s="6">
        <f>AVERAGE(J2:J11)</f>
        <v>237.3</v>
      </c>
      <c r="K13" s="6">
        <f>AVERAGE(K2:K11)</f>
        <v>3.3</v>
      </c>
      <c r="N13" s="5">
        <f>STDEV(N2:N11)</f>
        <v>6.6850718221491169E-3</v>
      </c>
      <c r="O13" s="5">
        <f>STDEV(O2:O11)</f>
        <v>7.0785820567436764E-2</v>
      </c>
      <c r="P13" s="2" t="s">
        <v>14</v>
      </c>
    </row>
    <row r="14" spans="1:21" x14ac:dyDescent="0.3">
      <c r="N14" s="5">
        <f>MIN(N2:N11)</f>
        <v>0.89614157238178127</v>
      </c>
      <c r="O14" s="5">
        <f>MIN(O2:O11)</f>
        <v>0.5099046221570066</v>
      </c>
      <c r="P14" s="2" t="s">
        <v>15</v>
      </c>
    </row>
    <row r="15" spans="1:21" x14ac:dyDescent="0.3">
      <c r="N15" s="5">
        <f>MAX(N2:N11)</f>
        <v>0.917693661971831</v>
      </c>
      <c r="O15" s="5">
        <f>MAX(O2:O11)</f>
        <v>0.75544142822205917</v>
      </c>
      <c r="P15" s="2" t="s">
        <v>16</v>
      </c>
    </row>
    <row r="20" spans="1:1" x14ac:dyDescent="0.3">
      <c r="A20" s="9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E122-F856-4AEC-9E32-871679C51D1A}">
  <dimension ref="A1:U15"/>
  <sheetViews>
    <sheetView workbookViewId="0">
      <selection activeCell="R23" sqref="R23"/>
    </sheetView>
  </sheetViews>
  <sheetFormatPr defaultRowHeight="14.4" x14ac:dyDescent="0.3"/>
  <cols>
    <col min="14" max="15" width="12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11</v>
      </c>
      <c r="O1" s="2" t="s">
        <v>13</v>
      </c>
      <c r="Q1" s="8" t="s">
        <v>65</v>
      </c>
      <c r="R1" s="8" t="s">
        <v>66</v>
      </c>
      <c r="T1" s="8" t="s">
        <v>67</v>
      </c>
      <c r="U1" s="8" t="s">
        <v>68</v>
      </c>
    </row>
    <row r="2" spans="1:21" x14ac:dyDescent="0.3">
      <c r="A2" s="3">
        <v>4783</v>
      </c>
      <c r="B2" s="3" t="s">
        <v>49</v>
      </c>
      <c r="C2" s="3">
        <v>0</v>
      </c>
      <c r="D2" s="3">
        <v>3976</v>
      </c>
      <c r="E2" s="3">
        <v>807</v>
      </c>
      <c r="F2" s="3">
        <v>3500</v>
      </c>
      <c r="G2" s="3">
        <v>476</v>
      </c>
      <c r="H2" s="3">
        <v>6</v>
      </c>
      <c r="I2" s="3">
        <v>3494</v>
      </c>
      <c r="J2" s="3">
        <v>469</v>
      </c>
      <c r="K2" s="3">
        <v>7</v>
      </c>
      <c r="N2" s="3">
        <v>0.88028169014084512</v>
      </c>
      <c r="O2" s="5">
        <v>0.85595500122279289</v>
      </c>
      <c r="Q2">
        <v>0.88165531163260158</v>
      </c>
      <c r="R2">
        <v>0.85910990902385054</v>
      </c>
      <c r="T2">
        <v>0.46153846153846156</v>
      </c>
      <c r="U2">
        <v>0.2608695652173913</v>
      </c>
    </row>
    <row r="3" spans="1:21" x14ac:dyDescent="0.3">
      <c r="A3" s="3">
        <v>4783</v>
      </c>
      <c r="B3" s="3" t="s">
        <v>50</v>
      </c>
      <c r="C3" s="3">
        <v>0</v>
      </c>
      <c r="D3" s="3">
        <v>4210</v>
      </c>
      <c r="E3" s="3">
        <v>573</v>
      </c>
      <c r="F3" s="3">
        <v>3681</v>
      </c>
      <c r="G3" s="3">
        <v>529</v>
      </c>
      <c r="H3" s="3">
        <v>4</v>
      </c>
      <c r="I3" s="3">
        <v>3677</v>
      </c>
      <c r="J3" s="3">
        <v>525</v>
      </c>
      <c r="K3" s="3">
        <v>4</v>
      </c>
      <c r="N3" s="3">
        <v>0.87434679334916865</v>
      </c>
      <c r="O3" s="5">
        <v>0.90022010271460018</v>
      </c>
      <c r="Q3">
        <v>0.87505949547834361</v>
      </c>
      <c r="R3">
        <v>0.90410622080157366</v>
      </c>
      <c r="T3">
        <v>0.5</v>
      </c>
      <c r="U3">
        <v>0.17391304347826086</v>
      </c>
    </row>
    <row r="4" spans="1:21" x14ac:dyDescent="0.3">
      <c r="A4">
        <v>4783</v>
      </c>
      <c r="B4">
        <v>0.90027179594396822</v>
      </c>
      <c r="C4">
        <v>0</v>
      </c>
      <c r="D4">
        <v>3979</v>
      </c>
      <c r="E4">
        <v>804</v>
      </c>
      <c r="F4">
        <v>3502</v>
      </c>
      <c r="G4">
        <v>477</v>
      </c>
      <c r="H4">
        <v>2</v>
      </c>
      <c r="I4">
        <v>3500</v>
      </c>
      <c r="J4">
        <v>473</v>
      </c>
      <c r="K4">
        <v>4</v>
      </c>
      <c r="N4" s="3">
        <v>0.88012063332495605</v>
      </c>
      <c r="O4" s="5">
        <v>0.85644411836634871</v>
      </c>
      <c r="Q4">
        <v>0.88094638811980874</v>
      </c>
      <c r="R4">
        <v>0.86058519793459554</v>
      </c>
      <c r="T4">
        <v>0.33333333333333331</v>
      </c>
      <c r="U4">
        <v>8.6956521739130432E-2</v>
      </c>
    </row>
    <row r="5" spans="1:21" x14ac:dyDescent="0.3">
      <c r="A5" s="3">
        <v>4783</v>
      </c>
      <c r="B5" s="3" t="s">
        <v>51</v>
      </c>
      <c r="C5" s="3">
        <v>0</v>
      </c>
      <c r="D5" s="3">
        <v>3714</v>
      </c>
      <c r="E5" s="3">
        <v>1069</v>
      </c>
      <c r="F5" s="3">
        <v>3303</v>
      </c>
      <c r="G5" s="3">
        <v>411</v>
      </c>
      <c r="H5" s="3">
        <v>1</v>
      </c>
      <c r="I5" s="3">
        <v>3302</v>
      </c>
      <c r="J5" s="3">
        <v>408</v>
      </c>
      <c r="K5" s="3">
        <v>3</v>
      </c>
      <c r="N5" s="3">
        <v>0.88933764135702742</v>
      </c>
      <c r="O5" s="5">
        <v>0.8077769625825385</v>
      </c>
      <c r="Q5">
        <v>0.89002695417789757</v>
      </c>
      <c r="R5">
        <v>0.81190066388000981</v>
      </c>
      <c r="T5">
        <v>0.25</v>
      </c>
      <c r="U5">
        <v>4.3478260869565216E-2</v>
      </c>
    </row>
    <row r="6" spans="1:21" x14ac:dyDescent="0.3">
      <c r="A6" s="3">
        <v>4783</v>
      </c>
      <c r="B6" s="3" t="s">
        <v>52</v>
      </c>
      <c r="C6" s="3">
        <v>0</v>
      </c>
      <c r="D6" s="3">
        <v>4389</v>
      </c>
      <c r="E6" s="3">
        <v>394</v>
      </c>
      <c r="F6" s="3">
        <v>3810</v>
      </c>
      <c r="G6" s="3">
        <v>579</v>
      </c>
      <c r="H6" s="3">
        <v>6</v>
      </c>
      <c r="I6" s="3">
        <v>3804</v>
      </c>
      <c r="J6" s="3">
        <v>573</v>
      </c>
      <c r="K6" s="3">
        <v>6</v>
      </c>
      <c r="N6" s="3">
        <v>0.86807928913192067</v>
      </c>
      <c r="O6" s="5">
        <v>0.93176815847395456</v>
      </c>
      <c r="Q6">
        <v>0.86908841672378345</v>
      </c>
      <c r="R6">
        <v>0.93533316941234323</v>
      </c>
      <c r="T6">
        <v>0.5</v>
      </c>
      <c r="U6">
        <v>0.2608695652173913</v>
      </c>
    </row>
    <row r="7" spans="1:21" x14ac:dyDescent="0.3">
      <c r="A7" s="3">
        <v>4783</v>
      </c>
      <c r="B7" s="3" t="s">
        <v>53</v>
      </c>
      <c r="C7" s="3">
        <v>0</v>
      </c>
      <c r="D7" s="3">
        <v>4086</v>
      </c>
      <c r="E7" s="3">
        <v>697</v>
      </c>
      <c r="F7" s="3">
        <v>3584</v>
      </c>
      <c r="G7" s="3">
        <v>502</v>
      </c>
      <c r="H7" s="3">
        <v>4</v>
      </c>
      <c r="I7" s="3">
        <v>3580</v>
      </c>
      <c r="J7" s="3">
        <v>498</v>
      </c>
      <c r="K7" s="3">
        <v>4</v>
      </c>
      <c r="N7" s="3">
        <v>0.87714145863925597</v>
      </c>
      <c r="O7" s="5">
        <v>0.87649792125213988</v>
      </c>
      <c r="Q7">
        <v>0.87788131436978911</v>
      </c>
      <c r="R7">
        <v>0.88025571674452918</v>
      </c>
      <c r="T7">
        <v>0.5</v>
      </c>
      <c r="U7">
        <v>0.17391304347826086</v>
      </c>
    </row>
    <row r="8" spans="1:21" x14ac:dyDescent="0.3">
      <c r="A8">
        <v>4783</v>
      </c>
      <c r="B8">
        <v>0.90298975538365045</v>
      </c>
      <c r="C8">
        <v>0</v>
      </c>
      <c r="D8">
        <v>3942</v>
      </c>
      <c r="E8">
        <v>841</v>
      </c>
      <c r="F8">
        <v>3478</v>
      </c>
      <c r="G8">
        <v>464</v>
      </c>
      <c r="H8">
        <v>1</v>
      </c>
      <c r="I8">
        <v>3477</v>
      </c>
      <c r="J8">
        <v>461</v>
      </c>
      <c r="K8">
        <v>3</v>
      </c>
      <c r="N8" s="3">
        <v>0.88229325215626586</v>
      </c>
      <c r="O8" s="5">
        <v>0.85057471264367812</v>
      </c>
      <c r="Q8">
        <v>0.88293550025393597</v>
      </c>
      <c r="R8">
        <v>0.8549299237767396</v>
      </c>
      <c r="T8">
        <v>0.25</v>
      </c>
      <c r="U8">
        <v>4.3478260869565216E-2</v>
      </c>
    </row>
    <row r="9" spans="1:21" x14ac:dyDescent="0.3">
      <c r="A9">
        <v>4783</v>
      </c>
      <c r="B9">
        <v>0.89650846748902357</v>
      </c>
      <c r="C9">
        <v>0</v>
      </c>
      <c r="D9">
        <v>4067</v>
      </c>
      <c r="E9">
        <v>716</v>
      </c>
      <c r="F9">
        <v>3572</v>
      </c>
      <c r="G9">
        <v>495</v>
      </c>
      <c r="H9">
        <v>1</v>
      </c>
      <c r="I9">
        <v>3571</v>
      </c>
      <c r="J9">
        <v>492</v>
      </c>
      <c r="K9">
        <v>3</v>
      </c>
      <c r="N9" s="3">
        <v>0.87828866486353574</v>
      </c>
      <c r="O9" s="5">
        <v>0.87356321839080464</v>
      </c>
      <c r="Q9">
        <v>0.87890721142013295</v>
      </c>
      <c r="R9">
        <v>0.87804278337841157</v>
      </c>
      <c r="T9">
        <v>0.25</v>
      </c>
      <c r="U9">
        <v>4.3478260869565216E-2</v>
      </c>
    </row>
    <row r="10" spans="1:21" x14ac:dyDescent="0.3">
      <c r="A10">
        <v>4783</v>
      </c>
      <c r="B10">
        <v>0.88919088438218696</v>
      </c>
      <c r="C10">
        <v>0</v>
      </c>
      <c r="D10">
        <v>4211</v>
      </c>
      <c r="E10">
        <v>572</v>
      </c>
      <c r="F10">
        <v>3681</v>
      </c>
      <c r="G10">
        <v>530</v>
      </c>
      <c r="H10">
        <v>1</v>
      </c>
      <c r="I10">
        <v>3680</v>
      </c>
      <c r="J10">
        <v>528</v>
      </c>
      <c r="K10">
        <v>2</v>
      </c>
      <c r="N10" s="3">
        <v>0.87413915934457376</v>
      </c>
      <c r="O10" s="5">
        <v>0.90022010271460018</v>
      </c>
      <c r="Q10">
        <v>0.87452471482889738</v>
      </c>
      <c r="R10">
        <v>0.90484386525694616</v>
      </c>
      <c r="T10">
        <v>0.33333333333333331</v>
      </c>
      <c r="U10">
        <v>4.3478260869565216E-2</v>
      </c>
    </row>
    <row r="11" spans="1:21" x14ac:dyDescent="0.3">
      <c r="A11" s="3">
        <v>4783</v>
      </c>
      <c r="B11" s="3" t="s">
        <v>54</v>
      </c>
      <c r="C11" s="3">
        <v>0</v>
      </c>
      <c r="D11" s="3">
        <v>3843</v>
      </c>
      <c r="E11" s="3">
        <v>940</v>
      </c>
      <c r="F11" s="3">
        <v>3399</v>
      </c>
      <c r="G11" s="3">
        <v>444</v>
      </c>
      <c r="H11" s="3">
        <v>6</v>
      </c>
      <c r="I11" s="3">
        <v>3393</v>
      </c>
      <c r="J11" s="3">
        <v>439</v>
      </c>
      <c r="K11" s="3">
        <v>5</v>
      </c>
      <c r="N11" s="3">
        <v>0.88446526151444183</v>
      </c>
      <c r="O11" s="5">
        <v>0.83125458547322084</v>
      </c>
      <c r="Q11">
        <v>0.88543841336116913</v>
      </c>
      <c r="R11">
        <v>0.83427587902630929</v>
      </c>
      <c r="T11">
        <v>0.54545454545454541</v>
      </c>
      <c r="U11">
        <v>0.2608695652173913</v>
      </c>
    </row>
    <row r="12" spans="1:21" x14ac:dyDescent="0.3">
      <c r="D12" s="6">
        <f>AVERAGE(D2:D11)</f>
        <v>4041.7</v>
      </c>
      <c r="F12" s="6">
        <f>AVERAGE(F2:F11)</f>
        <v>3551</v>
      </c>
      <c r="H12" s="6">
        <f>AVERAGE(H2:H11)</f>
        <v>3.2</v>
      </c>
      <c r="I12" s="6">
        <f>AVERAGE(I2:I11)</f>
        <v>3547.8</v>
      </c>
      <c r="N12" s="6">
        <f>AVERAGE(N2:N11)</f>
        <v>0.87884938438219906</v>
      </c>
      <c r="O12" s="6">
        <f>AVERAGE(O2:O11)</f>
        <v>0.86842748838346806</v>
      </c>
      <c r="P12" s="7" t="s">
        <v>12</v>
      </c>
      <c r="Q12" s="6">
        <f t="shared" ref="Q12:R12" si="0">AVERAGE(Q2:Q11)</f>
        <v>0.87964637203663598</v>
      </c>
      <c r="R12" s="6">
        <f t="shared" si="0"/>
        <v>0.87233833292353091</v>
      </c>
      <c r="T12" s="6">
        <f t="shared" ref="T12:U12" si="1">AVERAGE(T2:T11)</f>
        <v>0.39236596736596735</v>
      </c>
      <c r="U12" s="6">
        <f t="shared" si="1"/>
        <v>0.1391304347826087</v>
      </c>
    </row>
    <row r="13" spans="1:21" x14ac:dyDescent="0.3">
      <c r="I13">
        <f>I12+J13</f>
        <v>4034.4</v>
      </c>
      <c r="J13" s="6">
        <f>AVERAGE(J2:J11)</f>
        <v>486.6</v>
      </c>
      <c r="K13" s="6">
        <f>AVERAGE(K2:K11)</f>
        <v>4.0999999999999996</v>
      </c>
      <c r="N13" s="5">
        <f>STDEV(N2:N11)</f>
        <v>5.9512400535829992E-3</v>
      </c>
      <c r="O13" s="5">
        <f>STDEV(O2:O11)</f>
        <v>3.6214308765372447E-2</v>
      </c>
      <c r="P13" s="2" t="s">
        <v>14</v>
      </c>
    </row>
    <row r="14" spans="1:21" x14ac:dyDescent="0.3">
      <c r="N14" s="5">
        <f>MIN(N2:N11)</f>
        <v>0.86807928913192067</v>
      </c>
      <c r="O14" s="5">
        <f>MIN(O2:O11)</f>
        <v>0.8077769625825385</v>
      </c>
      <c r="P14" s="2" t="s">
        <v>15</v>
      </c>
    </row>
    <row r="15" spans="1:21" x14ac:dyDescent="0.3">
      <c r="N15" s="5">
        <f>MAX(N2:N11)</f>
        <v>0.88933764135702742</v>
      </c>
      <c r="O15" s="5">
        <f>MAX(O2:O11)</f>
        <v>0.93176815847395456</v>
      </c>
      <c r="P15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581A-AAC7-4DD6-8F2A-8A2BEA145347}">
  <dimension ref="A1:U15"/>
  <sheetViews>
    <sheetView workbookViewId="0">
      <selection activeCell="S18" sqref="S18"/>
    </sheetView>
  </sheetViews>
  <sheetFormatPr defaultRowHeight="14.4" x14ac:dyDescent="0.3"/>
  <cols>
    <col min="14" max="15" width="12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11</v>
      </c>
      <c r="O1" s="2" t="s">
        <v>13</v>
      </c>
      <c r="Q1" s="8" t="s">
        <v>65</v>
      </c>
      <c r="R1" s="8" t="s">
        <v>66</v>
      </c>
      <c r="T1" s="8" t="s">
        <v>67</v>
      </c>
      <c r="U1" s="8" t="s">
        <v>68</v>
      </c>
    </row>
    <row r="2" spans="1:21" x14ac:dyDescent="0.3">
      <c r="A2">
        <v>4783</v>
      </c>
      <c r="B2">
        <v>0.83274095755801802</v>
      </c>
      <c r="C2">
        <v>159</v>
      </c>
      <c r="D2">
        <v>4624</v>
      </c>
      <c r="E2">
        <v>0</v>
      </c>
      <c r="F2">
        <v>3983</v>
      </c>
      <c r="G2">
        <v>641</v>
      </c>
      <c r="H2">
        <v>6</v>
      </c>
      <c r="I2">
        <v>3977</v>
      </c>
      <c r="J2">
        <v>634</v>
      </c>
      <c r="K2">
        <v>7</v>
      </c>
      <c r="N2" s="3">
        <v>0.86137543252595161</v>
      </c>
      <c r="O2" s="5">
        <v>0.97407679139153824</v>
      </c>
      <c r="Q2">
        <v>0.86250271090869657</v>
      </c>
      <c r="R2">
        <v>0.97787066633882469</v>
      </c>
      <c r="T2">
        <v>0.46153846153846156</v>
      </c>
      <c r="U2">
        <v>0.2608695652173913</v>
      </c>
    </row>
    <row r="3" spans="1:21" x14ac:dyDescent="0.3">
      <c r="A3" s="3">
        <v>4783</v>
      </c>
      <c r="B3" s="3" t="s">
        <v>55</v>
      </c>
      <c r="C3" s="3">
        <v>0</v>
      </c>
      <c r="D3" s="3">
        <v>4727</v>
      </c>
      <c r="E3" s="3">
        <v>56</v>
      </c>
      <c r="F3" s="3">
        <v>4056</v>
      </c>
      <c r="G3" s="3">
        <v>671</v>
      </c>
      <c r="H3" s="3">
        <v>13</v>
      </c>
      <c r="I3" s="3">
        <v>4043</v>
      </c>
      <c r="J3" s="3">
        <v>661</v>
      </c>
      <c r="K3" s="3">
        <v>10</v>
      </c>
      <c r="N3" s="3">
        <v>0.85804950285593395</v>
      </c>
      <c r="O3" s="5">
        <v>0.99192956713132796</v>
      </c>
      <c r="Q3">
        <v>0.85948129251700678</v>
      </c>
      <c r="R3">
        <v>0.9940988443570199</v>
      </c>
      <c r="T3">
        <v>0.56521739130434778</v>
      </c>
      <c r="U3">
        <v>0.56521739130434778</v>
      </c>
    </row>
    <row r="4" spans="1:21" x14ac:dyDescent="0.3">
      <c r="A4" s="3">
        <v>4783</v>
      </c>
      <c r="B4" s="3" t="s">
        <v>56</v>
      </c>
      <c r="C4" s="3">
        <v>0</v>
      </c>
      <c r="D4" s="3">
        <v>4685</v>
      </c>
      <c r="E4" s="3">
        <v>98</v>
      </c>
      <c r="F4" s="3">
        <v>4028</v>
      </c>
      <c r="G4" s="3">
        <v>657</v>
      </c>
      <c r="H4" s="3">
        <v>16</v>
      </c>
      <c r="I4" s="3">
        <v>4012</v>
      </c>
      <c r="J4" s="3">
        <v>646</v>
      </c>
      <c r="K4" s="3">
        <v>11</v>
      </c>
      <c r="N4" s="3">
        <v>0.85976520811099255</v>
      </c>
      <c r="O4" s="5">
        <v>0.98508192712154563</v>
      </c>
      <c r="Q4">
        <v>0.86131386861313863</v>
      </c>
      <c r="R4">
        <v>0.98647651831817063</v>
      </c>
      <c r="T4">
        <v>0.59259259259259256</v>
      </c>
      <c r="U4">
        <v>0.69565217391304346</v>
      </c>
    </row>
    <row r="5" spans="1:21" x14ac:dyDescent="0.3">
      <c r="A5" s="3">
        <v>4783</v>
      </c>
      <c r="B5" s="3" t="s">
        <v>57</v>
      </c>
      <c r="C5" s="3">
        <v>88</v>
      </c>
      <c r="D5" s="3">
        <v>4695</v>
      </c>
      <c r="E5" s="3">
        <v>0</v>
      </c>
      <c r="F5" s="3">
        <v>4035</v>
      </c>
      <c r="G5" s="3">
        <v>660</v>
      </c>
      <c r="H5" s="3">
        <v>7</v>
      </c>
      <c r="I5" s="3">
        <v>4028</v>
      </c>
      <c r="J5" s="3">
        <v>652</v>
      </c>
      <c r="K5" s="3">
        <v>8</v>
      </c>
      <c r="N5" s="3">
        <v>0.85942492012779548</v>
      </c>
      <c r="O5" s="5">
        <v>0.98679383712399116</v>
      </c>
      <c r="Q5">
        <v>0.86068376068376073</v>
      </c>
      <c r="R5">
        <v>0.9904106220801574</v>
      </c>
      <c r="T5">
        <v>0.46666666666666667</v>
      </c>
      <c r="U5">
        <v>0.30434782608695654</v>
      </c>
    </row>
    <row r="6" spans="1:21" x14ac:dyDescent="0.3">
      <c r="A6">
        <v>4783</v>
      </c>
      <c r="B6">
        <v>0.86326573280367969</v>
      </c>
      <c r="C6">
        <v>0</v>
      </c>
      <c r="D6">
        <v>4661</v>
      </c>
      <c r="E6">
        <v>122</v>
      </c>
      <c r="F6">
        <v>4007</v>
      </c>
      <c r="G6">
        <v>654</v>
      </c>
      <c r="H6">
        <v>9</v>
      </c>
      <c r="I6">
        <v>3998</v>
      </c>
      <c r="J6">
        <v>645</v>
      </c>
      <c r="K6">
        <v>9</v>
      </c>
      <c r="N6" s="3">
        <v>0.85968676249731812</v>
      </c>
      <c r="O6" s="5">
        <v>0.97994619711420883</v>
      </c>
      <c r="Q6">
        <v>0.86108119750161538</v>
      </c>
      <c r="R6">
        <v>0.9830341775264323</v>
      </c>
      <c r="T6">
        <v>0.5</v>
      </c>
      <c r="U6">
        <v>0.27272727272727271</v>
      </c>
    </row>
    <row r="7" spans="1:21" x14ac:dyDescent="0.3">
      <c r="A7" s="3">
        <v>4783</v>
      </c>
      <c r="B7" s="3" t="s">
        <v>58</v>
      </c>
      <c r="C7" s="3">
        <v>159</v>
      </c>
      <c r="D7" s="3">
        <v>4624</v>
      </c>
      <c r="E7" s="3">
        <v>0</v>
      </c>
      <c r="F7" s="3">
        <v>3983</v>
      </c>
      <c r="G7" s="3">
        <v>641</v>
      </c>
      <c r="H7" s="3">
        <v>6</v>
      </c>
      <c r="I7" s="3">
        <v>3977</v>
      </c>
      <c r="J7" s="3">
        <v>634</v>
      </c>
      <c r="K7" s="3">
        <v>7</v>
      </c>
      <c r="N7" s="3">
        <v>0.86137543252595161</v>
      </c>
      <c r="O7" s="5">
        <v>0.97407679139153824</v>
      </c>
      <c r="Q7">
        <v>0.86250271090869657</v>
      </c>
      <c r="R7">
        <v>0.97787066633882469</v>
      </c>
      <c r="T7">
        <v>0.46153846153846156</v>
      </c>
      <c r="U7">
        <v>0.2608695652173913</v>
      </c>
    </row>
    <row r="8" spans="1:21" x14ac:dyDescent="0.3">
      <c r="A8" s="3">
        <v>4783</v>
      </c>
      <c r="B8" s="3" t="s">
        <v>59</v>
      </c>
      <c r="C8" s="3">
        <v>123</v>
      </c>
      <c r="D8" s="3">
        <v>4660</v>
      </c>
      <c r="E8" s="3">
        <v>0</v>
      </c>
      <c r="F8" s="3">
        <v>4006</v>
      </c>
      <c r="G8" s="3">
        <v>654</v>
      </c>
      <c r="H8" s="3">
        <v>14</v>
      </c>
      <c r="I8" s="3">
        <v>3992</v>
      </c>
      <c r="J8" s="3">
        <v>643</v>
      </c>
      <c r="K8" s="3">
        <v>11</v>
      </c>
      <c r="N8" s="3">
        <v>0.85965665236051503</v>
      </c>
      <c r="O8" s="5">
        <v>0.97970163854243086</v>
      </c>
      <c r="Q8">
        <v>0.86127292340884576</v>
      </c>
      <c r="R8">
        <v>0.98155888861568719</v>
      </c>
      <c r="T8">
        <v>0.56000000000000005</v>
      </c>
      <c r="U8">
        <v>0.60869565217391308</v>
      </c>
    </row>
    <row r="9" spans="1:21" x14ac:dyDescent="0.3">
      <c r="A9" s="3">
        <v>4783</v>
      </c>
      <c r="B9" s="3" t="s">
        <v>60</v>
      </c>
      <c r="C9" s="3">
        <v>0</v>
      </c>
      <c r="D9" s="3">
        <v>4747</v>
      </c>
      <c r="E9" s="3">
        <v>36</v>
      </c>
      <c r="F9" s="3">
        <v>4069</v>
      </c>
      <c r="G9" s="3">
        <v>678</v>
      </c>
      <c r="H9" s="3">
        <v>20</v>
      </c>
      <c r="I9" s="3">
        <v>4049</v>
      </c>
      <c r="J9" s="3">
        <v>665</v>
      </c>
      <c r="K9" s="3">
        <v>13</v>
      </c>
      <c r="N9" s="3">
        <v>0.85717295133768701</v>
      </c>
      <c r="O9" s="5">
        <v>0.99510882856444116</v>
      </c>
      <c r="Q9">
        <v>0.85893084429359357</v>
      </c>
      <c r="R9">
        <v>0.99557413326776489</v>
      </c>
      <c r="T9">
        <v>0.60606060606060608</v>
      </c>
      <c r="U9">
        <v>0.86956521739130432</v>
      </c>
    </row>
    <row r="10" spans="1:21" x14ac:dyDescent="0.3">
      <c r="A10" s="3">
        <v>4783</v>
      </c>
      <c r="B10" s="3" t="s">
        <v>61</v>
      </c>
      <c r="C10" s="3">
        <v>0</v>
      </c>
      <c r="D10" s="3">
        <v>4783</v>
      </c>
      <c r="E10" s="3">
        <v>0</v>
      </c>
      <c r="F10" s="3">
        <v>4078</v>
      </c>
      <c r="G10" s="3">
        <v>705</v>
      </c>
      <c r="H10" s="3">
        <v>22</v>
      </c>
      <c r="I10" s="3">
        <v>4045</v>
      </c>
      <c r="J10" s="3">
        <v>662</v>
      </c>
      <c r="K10" s="3">
        <v>43</v>
      </c>
      <c r="N10" s="3">
        <v>0.85260296884800335</v>
      </c>
      <c r="O10" s="5">
        <v>0.99730985571044262</v>
      </c>
      <c r="Q10">
        <v>0.85935840237943484</v>
      </c>
      <c r="R10">
        <v>0.99459060732726823</v>
      </c>
      <c r="T10">
        <v>0.33846153846153848</v>
      </c>
      <c r="U10">
        <v>0.95652173913043481</v>
      </c>
    </row>
    <row r="11" spans="1:21" x14ac:dyDescent="0.3">
      <c r="A11" s="3">
        <v>4783</v>
      </c>
      <c r="B11" s="3" t="s">
        <v>62</v>
      </c>
      <c r="C11" s="3">
        <v>0</v>
      </c>
      <c r="D11" s="3">
        <v>4636</v>
      </c>
      <c r="E11" s="3">
        <v>147</v>
      </c>
      <c r="F11" s="3">
        <v>3991</v>
      </c>
      <c r="G11" s="3">
        <v>645</v>
      </c>
      <c r="H11" s="3">
        <v>16</v>
      </c>
      <c r="I11" s="3">
        <v>3975</v>
      </c>
      <c r="J11" s="3">
        <v>633</v>
      </c>
      <c r="K11" s="3">
        <v>12</v>
      </c>
      <c r="N11" s="3">
        <v>0.86087144089732526</v>
      </c>
      <c r="O11" s="5">
        <v>0.97603325996576185</v>
      </c>
      <c r="Q11">
        <v>0.86263020833333337</v>
      </c>
      <c r="R11">
        <v>0.97737890336857636</v>
      </c>
      <c r="T11">
        <v>0.5714285714285714</v>
      </c>
      <c r="U11">
        <v>0.69565217391304346</v>
      </c>
    </row>
    <row r="12" spans="1:21" x14ac:dyDescent="0.3">
      <c r="D12" s="6">
        <f>AVERAGE(D2:D11)</f>
        <v>4684.2</v>
      </c>
      <c r="F12" s="6">
        <f>AVERAGE(F2:F11)</f>
        <v>4023.6</v>
      </c>
      <c r="H12" s="6">
        <f>AVERAGE(H2:H11)</f>
        <v>12.9</v>
      </c>
      <c r="I12" s="6">
        <f>AVERAGE(I2:I11)</f>
        <v>4009.6</v>
      </c>
      <c r="N12" s="6">
        <f>AVERAGE(N2:N11)</f>
        <v>0.85899812720874746</v>
      </c>
      <c r="O12" s="6">
        <f>AVERAGE(O2:O11)</f>
        <v>0.98400586940572266</v>
      </c>
      <c r="P12" s="7" t="s">
        <v>12</v>
      </c>
      <c r="Q12" s="6">
        <f t="shared" ref="Q12:R12" si="0">AVERAGE(Q2:Q11)</f>
        <v>0.86097579195481211</v>
      </c>
      <c r="R12" s="6">
        <f t="shared" si="0"/>
        <v>0.98588640275387274</v>
      </c>
      <c r="T12" s="6">
        <f t="shared" ref="T12:U12" si="1">AVERAGE(T2:T11)</f>
        <v>0.51235042895912453</v>
      </c>
      <c r="U12" s="6">
        <f t="shared" si="1"/>
        <v>0.54901185770750982</v>
      </c>
    </row>
    <row r="13" spans="1:21" x14ac:dyDescent="0.3">
      <c r="G13" s="6"/>
      <c r="I13">
        <f>I12+J13</f>
        <v>4657.1000000000004</v>
      </c>
      <c r="J13" s="6">
        <f>AVERAGE(J2:J11)</f>
        <v>647.5</v>
      </c>
      <c r="K13" s="6">
        <f>AVERAGE(K2:K11)</f>
        <v>13.1</v>
      </c>
      <c r="N13" s="5">
        <f>STDEV(N2:N11)</f>
        <v>2.6166159261065214E-3</v>
      </c>
      <c r="O13" s="5">
        <f>STDEV(O2:O11)</f>
        <v>8.6134934690588229E-3</v>
      </c>
      <c r="P13" s="2" t="s">
        <v>14</v>
      </c>
    </row>
    <row r="14" spans="1:21" x14ac:dyDescent="0.3">
      <c r="N14" s="5">
        <f>MIN(N2:N11)</f>
        <v>0.85260296884800335</v>
      </c>
      <c r="O14" s="5">
        <f>MIN(O2:O11)</f>
        <v>0.97407679139153824</v>
      </c>
      <c r="P14" s="2" t="s">
        <v>15</v>
      </c>
    </row>
    <row r="15" spans="1:21" x14ac:dyDescent="0.3">
      <c r="N15" s="5">
        <f>MAX(N2:N11)</f>
        <v>0.86137543252595161</v>
      </c>
      <c r="O15" s="5">
        <f>MAX(O2:O11)</f>
        <v>0.99730985571044262</v>
      </c>
      <c r="P1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OS_alpha_0.05</vt:lpstr>
      <vt:lpstr>OS_alpha_0.10</vt:lpstr>
      <vt:lpstr>OS_alpha_0.15</vt:lpstr>
      <vt:lpstr>QT_alpha_0.05</vt:lpstr>
      <vt:lpstr>QT_alpha_0.10</vt:lpstr>
      <vt:lpstr>QT_alpha_0.15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4</cp:revision>
  <dcterms:created xsi:type="dcterms:W3CDTF">2025-02-07T13:16:32Z</dcterms:created>
  <dcterms:modified xsi:type="dcterms:W3CDTF">2025-12-18T19:54:38Z</dcterms:modified>
</cp:coreProperties>
</file>